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queryTables/queryTable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Users/dennis/Documents/Promotion/"/>
    </mc:Choice>
  </mc:AlternateContent>
  <xr:revisionPtr revIDLastSave="0" documentId="13_ncr:1_{4D36533C-9C68-F744-8EB4-1124DEAB645F}" xr6:coauthVersionLast="47" xr6:coauthVersionMax="47" xr10:uidLastSave="{00000000-0000-0000-0000-000000000000}"/>
  <bookViews>
    <workbookView xWindow="51200" yWindow="620" windowWidth="51200" windowHeight="28180" activeTab="3" xr2:uid="{01616A6A-41EB-BE4C-A220-8DF9E0324125}"/>
  </bookViews>
  <sheets>
    <sheet name="Title Abstract Screening" sheetId="1" r:id="rId1"/>
    <sheet name="Full Text Screening" sheetId="2" r:id="rId2"/>
    <sheet name="Review - Final Extraction" sheetId="5" r:id="rId3"/>
    <sheet name="extraction_analysis_export" sheetId="9" r:id="rId4"/>
    <sheet name="review_zotero_export" sheetId="4" r:id="rId5"/>
  </sheets>
  <definedNames>
    <definedName name="_xlnm._FilterDatabase" localSheetId="1" hidden="1">'Full Text Screening'!$A$1:$CI$123</definedName>
    <definedName name="_xlnm._FilterDatabase" localSheetId="2" hidden="1">'Review - Final Extraction'!$A$1:$BL$45</definedName>
    <definedName name="_xlnm._FilterDatabase" localSheetId="0" hidden="1">'Title Abstract Screening'!$A$1:$CK$653</definedName>
    <definedName name="for_fulltext_screening" localSheetId="1">'Full Text Screening'!$A$1:$E$123</definedName>
    <definedName name="SLR_Include_In_Review" localSheetId="4">review_zotero_export!$A$1:$CH$43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3" i="9" l="1"/>
  <c r="B43" i="9"/>
  <c r="C42" i="9"/>
  <c r="B42" i="9"/>
  <c r="C41" i="9"/>
  <c r="B41" i="9"/>
  <c r="C40" i="9"/>
  <c r="B40" i="9"/>
  <c r="C39" i="9"/>
  <c r="B39" i="9"/>
  <c r="C38" i="9"/>
  <c r="B38" i="9"/>
  <c r="C37" i="9"/>
  <c r="B37" i="9"/>
  <c r="C36" i="9"/>
  <c r="B36" i="9"/>
  <c r="C35" i="9"/>
  <c r="B35" i="9"/>
  <c r="C34" i="9"/>
  <c r="B34" i="9"/>
  <c r="C33" i="9"/>
  <c r="B33" i="9"/>
  <c r="C32" i="9"/>
  <c r="B32" i="9"/>
  <c r="C31" i="9"/>
  <c r="B31" i="9"/>
  <c r="C30" i="9"/>
  <c r="B30" i="9"/>
  <c r="C29" i="9"/>
  <c r="B29" i="9"/>
  <c r="C28" i="9"/>
  <c r="B28" i="9"/>
  <c r="C27" i="9"/>
  <c r="B27" i="9"/>
  <c r="C26" i="9"/>
  <c r="B26" i="9"/>
  <c r="C25" i="9"/>
  <c r="B25" i="9"/>
  <c r="C24" i="9"/>
  <c r="B24" i="9"/>
  <c r="C23" i="9"/>
  <c r="B23" i="9"/>
  <c r="C22" i="9"/>
  <c r="B22" i="9"/>
  <c r="C21" i="9"/>
  <c r="B21" i="9"/>
  <c r="C20" i="9"/>
  <c r="B20" i="9"/>
  <c r="C19" i="9"/>
  <c r="B19" i="9"/>
  <c r="C18" i="9"/>
  <c r="B18" i="9"/>
  <c r="C17" i="9"/>
  <c r="B17" i="9"/>
  <c r="C16" i="9"/>
  <c r="B16" i="9"/>
  <c r="C15" i="9"/>
  <c r="B15" i="9"/>
  <c r="C14" i="9"/>
  <c r="B14" i="9"/>
  <c r="C13" i="9"/>
  <c r="B13" i="9"/>
  <c r="C12" i="9"/>
  <c r="B12" i="9"/>
  <c r="C11" i="9"/>
  <c r="B11" i="9"/>
  <c r="C10" i="9"/>
  <c r="B10" i="9"/>
  <c r="C9" i="9"/>
  <c r="B9" i="9"/>
  <c r="C8" i="9"/>
  <c r="B8" i="9"/>
  <c r="C7" i="9"/>
  <c r="B7" i="9"/>
  <c r="C6" i="9"/>
  <c r="B6" i="9"/>
  <c r="C5" i="9"/>
  <c r="B5" i="9"/>
  <c r="C4" i="9"/>
  <c r="B4" i="9"/>
  <c r="C3" i="9"/>
  <c r="B3" i="9"/>
  <c r="C2" i="9"/>
  <c r="B2" i="9"/>
  <c r="C7" i="5" l="1"/>
  <c r="C2" i="5"/>
  <c r="C3" i="5"/>
  <c r="C4" i="5"/>
  <c r="C5" i="5"/>
  <c r="C6"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B2" i="2"/>
  <c r="B3" i="2"/>
  <c r="B2" i="5"/>
  <c r="B3" i="5" l="1"/>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L3" i="5"/>
  <c r="BL4" i="5"/>
  <c r="BL5" i="5"/>
  <c r="BL6" i="5"/>
  <c r="BL7" i="5"/>
  <c r="BL8" i="5"/>
  <c r="BL9" i="5"/>
  <c r="BL10" i="5"/>
  <c r="BL11" i="5"/>
  <c r="BL12" i="5"/>
  <c r="BL13" i="5"/>
  <c r="BL14" i="5"/>
  <c r="BL15" i="5"/>
  <c r="BL16" i="5"/>
  <c r="BL17" i="5"/>
  <c r="BL18" i="5"/>
  <c r="BL19" i="5"/>
  <c r="BL20" i="5"/>
  <c r="BL21" i="5"/>
  <c r="BL22" i="5"/>
  <c r="BL23" i="5"/>
  <c r="BL24" i="5"/>
  <c r="BL25" i="5"/>
  <c r="BL26" i="5"/>
  <c r="BL27" i="5"/>
  <c r="BL28" i="5"/>
  <c r="BL29" i="5"/>
  <c r="BL30" i="5"/>
  <c r="BL31" i="5"/>
  <c r="BL32" i="5"/>
  <c r="BL33" i="5"/>
  <c r="BL34" i="5"/>
  <c r="BL35" i="5"/>
  <c r="BL36" i="5"/>
  <c r="BL37" i="5"/>
  <c r="BL38" i="5"/>
  <c r="BL39" i="5"/>
  <c r="BL40" i="5"/>
  <c r="BL41" i="5"/>
  <c r="BL42" i="5"/>
  <c r="BL43" i="5"/>
  <c r="BL2" i="5"/>
  <c r="BK3" i="5"/>
  <c r="BK4" i="5"/>
  <c r="BK5" i="5"/>
  <c r="BK6" i="5"/>
  <c r="BK7" i="5"/>
  <c r="BK8" i="5"/>
  <c r="BK9" i="5"/>
  <c r="BK10" i="5"/>
  <c r="BK11" i="5"/>
  <c r="BK12" i="5"/>
  <c r="BK13" i="5"/>
  <c r="BK14" i="5"/>
  <c r="BK15" i="5"/>
  <c r="BK16" i="5"/>
  <c r="BK17" i="5"/>
  <c r="BK18" i="5"/>
  <c r="BK19" i="5"/>
  <c r="BK20" i="5"/>
  <c r="BK21" i="5"/>
  <c r="BK22" i="5"/>
  <c r="BK23" i="5"/>
  <c r="BK24" i="5"/>
  <c r="BK25" i="5"/>
  <c r="BK26" i="5"/>
  <c r="BK27" i="5"/>
  <c r="BK28" i="5"/>
  <c r="BK29" i="5"/>
  <c r="BK30" i="5"/>
  <c r="BK31" i="5"/>
  <c r="BK32" i="5"/>
  <c r="BK33" i="5"/>
  <c r="BK34" i="5"/>
  <c r="BK35" i="5"/>
  <c r="BK36" i="5"/>
  <c r="BK37" i="5"/>
  <c r="BK38" i="5"/>
  <c r="BK39" i="5"/>
  <c r="BK40" i="5"/>
  <c r="BK41" i="5"/>
  <c r="BK42" i="5"/>
  <c r="BK43" i="5"/>
  <c r="BK2" i="5"/>
  <c r="AQ45" i="5" l="1"/>
  <c r="AR45" i="5"/>
  <c r="AS45" i="5"/>
  <c r="AT45" i="5"/>
  <c r="AU45" i="5"/>
  <c r="AV45" i="5"/>
  <c r="AW45" i="5"/>
  <c r="AX45" i="5"/>
  <c r="AY45" i="5"/>
  <c r="AZ45" i="5"/>
  <c r="BA45" i="5"/>
  <c r="BB45" i="5"/>
  <c r="BC45" i="5"/>
  <c r="BD45" i="5"/>
  <c r="BE45" i="5"/>
  <c r="BF45" i="5"/>
  <c r="BG45" i="5"/>
  <c r="BH45" i="5"/>
  <c r="BI45" i="5"/>
  <c r="BJ45" i="5"/>
  <c r="AR44" i="5"/>
  <c r="AS44" i="5"/>
  <c r="AT44" i="5"/>
  <c r="AU44" i="5"/>
  <c r="AV44" i="5"/>
  <c r="AW44" i="5"/>
  <c r="AX44" i="5"/>
  <c r="AY44" i="5"/>
  <c r="AZ44" i="5"/>
  <c r="BA44" i="5"/>
  <c r="BB44" i="5"/>
  <c r="BC44" i="5"/>
  <c r="BD44" i="5"/>
  <c r="BE44" i="5"/>
  <c r="BF44" i="5"/>
  <c r="BG44" i="5"/>
  <c r="BH44" i="5"/>
  <c r="BI44" i="5"/>
  <c r="BJ44" i="5"/>
  <c r="AQ44" i="5"/>
  <c r="V44" i="5"/>
  <c r="W44" i="5"/>
  <c r="X44" i="5"/>
  <c r="Y44" i="5"/>
  <c r="Z44" i="5"/>
  <c r="AA44" i="5"/>
  <c r="AB44" i="5"/>
  <c r="AC44" i="5"/>
  <c r="AD44" i="5"/>
  <c r="AE44" i="5"/>
  <c r="AF44" i="5"/>
  <c r="AG44" i="5"/>
  <c r="AH44" i="5"/>
  <c r="AI44" i="5"/>
  <c r="AJ44" i="5"/>
  <c r="AK44" i="5"/>
  <c r="AL44" i="5"/>
  <c r="AM44" i="5"/>
  <c r="AN44" i="5"/>
  <c r="AO44" i="5"/>
  <c r="AP44" i="5"/>
  <c r="U44" i="5"/>
  <c r="V45" i="5"/>
  <c r="W45" i="5"/>
  <c r="X45" i="5"/>
  <c r="Y45" i="5"/>
  <c r="Z45" i="5"/>
  <c r="AA45" i="5"/>
  <c r="AB45" i="5"/>
  <c r="AC45" i="5"/>
  <c r="AD45" i="5"/>
  <c r="AE45" i="5"/>
  <c r="AF45" i="5"/>
  <c r="AG45" i="5"/>
  <c r="AH45" i="5"/>
  <c r="AI45" i="5"/>
  <c r="AJ45" i="5"/>
  <c r="AK45" i="5"/>
  <c r="AL45" i="5"/>
  <c r="AM45" i="5"/>
  <c r="AN45" i="5"/>
  <c r="AO45" i="5"/>
  <c r="AP45" i="5"/>
  <c r="U45" i="5"/>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666C4D-E11E-4B43-AB72-1A45FADA85CE}" name="for fulltext screening" type="6" refreshedVersion="8" background="1" saveData="1">
    <textPr codePage="65001" sourceFile="/Users/dennis/Zotero/storage/for fulltext screening.csv" decimal="," thousands="." comma="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 xr16:uid="{F419C28F-BCD8-D541-BB87-FEB2F61FB919}" name="SLR_Include_In_Review" type="6" refreshedVersion="8" background="1" saveData="1">
    <textPr codePage="65001" sourceFile="/Users/dennis/Documents/Promotion/SLR_Include_In_Review.csv" decimal="," thousands="." comma="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<sst xmlns="http://schemas.openxmlformats.org/spreadsheetml/2006/main" count="13585" uniqueCount="7120">
  <si>
    <t>Key</t>
  </si>
  <si>
    <t>Item Type</t>
  </si>
  <si>
    <t>Publication Year</t>
  </si>
  <si>
    <t>Author</t>
  </si>
  <si>
    <t>Title</t>
  </si>
  <si>
    <t>Publication Title</t>
  </si>
  <si>
    <t>ISBN</t>
  </si>
  <si>
    <t>ISSN</t>
  </si>
  <si>
    <t>DOI</t>
  </si>
  <si>
    <t>Url</t>
  </si>
  <si>
    <t>Abstract Note</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</si>
  <si>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</si>
  <si>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</si>
  <si>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</si>
  <si>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</si>
  <si>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</si>
  <si>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</si>
  <si>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</si>
  <si>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</si>
  <si>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</si>
  <si>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</si>
  <si>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</si>
  <si>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</si>
  <si>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</si>
  <si>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</si>
  <si>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</si>
  <si>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</si>
  <si>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</si>
  <si>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</si>
  <si>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</si>
  <si>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</si>
  <si>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</si>
  <si>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</si>
  <si>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</si>
  <si>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</si>
  <si>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</si>
  <si>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</si>
  <si>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</si>
  <si>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</si>
  <si>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</si>
  <si>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</si>
  <si>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</si>
  <si>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</si>
  <si>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</si>
  <si>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</si>
  <si>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</si>
  <si>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</si>
  <si>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</si>
  <si>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</si>
  <si>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</si>
  <si>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</si>
  <si>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</si>
  <si>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</si>
  <si>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</si>
  <si>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</si>
  <si>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</si>
  <si>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</si>
  <si>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</si>
  <si>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</si>
  <si>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</si>
  <si>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</si>
  <si>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</si>
  <si>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</si>
  <si>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</si>
  <si>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</si>
  <si>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</si>
  <si>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</si>
  <si>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</si>
  <si>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</si>
  <si>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</si>
  <si>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</si>
  <si>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</si>
  <si>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</si>
  <si>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</si>
  <si>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</si>
  <si>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</si>
  <si>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</si>
  <si>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</si>
  <si>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</si>
  <si>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</si>
  <si>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</si>
  <si>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</si>
  <si>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</si>
  <si>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</si>
  <si>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</si>
  <si>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</si>
  <si>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</si>
  <si>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USLKI6SD</t>
  </si>
  <si>
    <t>bookSection</t>
  </si>
  <si>
    <t>García, Matías; Cano, Sandra; Moreira, Fernando</t>
  </si>
  <si>
    <t>User eXperience (UX) Evaluation in Virtual Reality (VR)</t>
  </si>
  <si>
    <t>Information Systems and Technologies</t>
  </si>
  <si>
    <t>978-3-031-45641-1 978-3-031-45642-8</t>
  </si>
  <si>
    <t>https://link.springer.com/10.1007/978-3-031-45642-8_20</t>
  </si>
  <si>
    <t>207-215</t>
  </si>
  <si>
    <t>Springer Nature Switzerland</t>
  </si>
  <si>
    <t>Cham</t>
  </si>
  <si>
    <t>en</t>
  </si>
  <si>
    <t>DOI.org (Crossref)</t>
  </si>
  <si>
    <t>Series Title: Lecture Notes in Networks and Systems DOI: 10.1007/978-3-031-45642-8_20</t>
  </si>
  <si>
    <t>Rocha, Alvaro; Adeli, Hojjat; Dzemyda, Gintautas; Moreira, Fernando; Colla, Valentina</t>
  </si>
  <si>
    <t>4NA7EED8</t>
  </si>
  <si>
    <t>journalArticle</t>
  </si>
  <si>
    <t>Othman, Mohd Kamal; Mat, Rahimah; Zulkiply, Norehan</t>
  </si>
  <si>
    <t>WVREA heuristics: A comprehensive framework for evaluating usability in wearable virtual reality educational applications (WVREA)</t>
  </si>
  <si>
    <t>Education and Information Technologies</t>
  </si>
  <si>
    <t>1360-2357, 1573-7608</t>
  </si>
  <si>
    <t>10.1007/s10639-024-13234-5</t>
  </si>
  <si>
    <t>https://link.springer.com/10.1007/s10639-024-13234-5</t>
  </si>
  <si>
    <t>Educ Inf Technol</t>
  </si>
  <si>
    <t>WVREA heuristics</t>
  </si>
  <si>
    <t>RCL87GLR</t>
  </si>
  <si>
    <t>Grego, Giovanni; Nenna, Federica; Gamberini, Luciano</t>
  </si>
  <si>
    <t>XR-Based Digital Twin for Industry 5.0: A Usability and User Experience Evaluation</t>
  </si>
  <si>
    <t>Extended Reality</t>
  </si>
  <si>
    <t>978-3-031-71706-2 978-3-031-71707-9</t>
  </si>
  <si>
    <t>https://link.springer.com/10.1007/978-3-031-71707-9_33</t>
  </si>
  <si>
    <t>387-403</t>
  </si>
  <si>
    <t>XR-Based Digital Twin for Industry 5.0</t>
  </si>
  <si>
    <t>Series Title: Lecture Notes in Computer Science DOI: 10.1007/978-3-031-71707-9_33</t>
  </si>
  <si>
    <t>De Paolis, Lucio Tommaso; Arpaia, Pasquale; Sacco, Marco</t>
  </si>
  <si>
    <t>T9MHGDU3</t>
  </si>
  <si>
    <t>Oliveira, Anderson V. C. De; F. S., Pio H. Ordozgoith; Correa, Hanah I. S.; Andrade, Renato A. O.</t>
  </si>
  <si>
    <t>Immersive Test Study to Evaluate XR Device Performance and Usability</t>
  </si>
  <si>
    <t>HCI International 2024 – Late Breaking Posters</t>
  </si>
  <si>
    <t>978-3-031-78515-3 978-3-031-78516-0</t>
  </si>
  <si>
    <t>https://link.springer.com/10.1007/978-3-031-78516-0_18</t>
  </si>
  <si>
    <t>177-187</t>
  </si>
  <si>
    <t>Series Title: Communications in Computer and Information Science DOI: 10.1007/978-3-031-78516-0_18</t>
  </si>
  <si>
    <t>Stephanidis, Constantine; Antona, Margherita; Ntoa, Stavroula; Salvendy, Gavriel</t>
  </si>
  <si>
    <t>GKEHEQYQ</t>
  </si>
  <si>
    <t>Prahm, Cosima; Eckstein, Korbinian; Bressler, Michael; Wang, Zhixing; Li, Xiaotong; Suzuki, Takashige; Daigeler, Adrien; Kolbenschlag, Jonas; Kuzuoka, Hideaki</t>
  </si>
  <si>
    <t>PhantomAR: gamified mixed reality system for alleviating phantom limb pain in upper limb amputees—design, implementation, and clinical usability evaluation</t>
  </si>
  <si>
    <t>Journal of NeuroEngineering and Rehabilitation</t>
  </si>
  <si>
    <t>1743-0003</t>
  </si>
  <si>
    <t>10.1186/s12984-025-01554-7</t>
  </si>
  <si>
    <t>https://jneuroengrehab.biomedcentral.com/articles/10.1186/s12984-025-01554-7</t>
  </si>
  <si>
    <t>Abstract                            Background               Phantom limb pain (PLP) is a restrictive condition in which patients perceive pain in a limb that is no longer present, greatly reducing their quality of life. Mirror Therapy, wherein patients observe a mirror reflection of their intact limb, has demonstrated efficacy in alleviating PLP. However, its unilateral and seated nature presents limitations. To address these constraints while still reducing PLP, and evaluating the impact of different virtual limb representations (anthropomorphic vs. non-anthropomorphic) on the user’s sense of ownership, agency, and embodiment, PhantomAR was developed. Leveraging wearable first-person augmented reality (AR) technology, PhantomAR extends traditional Mirror Therapy by enabling users to move freely and engage in bimanual tasks.                                         Methods               The assistive mixed reality game application PhantomAR was deployed on the Microsoft HoloLens 2 and augmented the user’s residual limb by superimposing a virtual arm or tentacle that was controlled via residual muscles on their stump using an EMG electrode array. This setup allowed patients to engage in a first-person perspective and manipulate virtual objects with both the healthy and augmented limbs, free from the confines of a seated position. The study enrolled 10 able-bodied individuals and 8 individuals with unilateral, transradial amputation. All amputees experienced PLP. The usability of the PhantomAR application was evaluated using the System Usability Scale (SUS) and a user-centric survey. Additionally, the Game Experience was assessed on a 5-point Likert questionnaire (GEQ). Participants rated their phantom sensations using the Numerical Rating Scale and McGill Pain Questionnaire before, during, and after interaction with PhantomAR. The embodiment and agency of the virtual superimposed arm were evaluated with an altered Prosthesis Embodiment Scale. The study protocol included two sessions of 30 min each, during which participants experienced PhantomAR.                                         Results               Participants (n = 18) rated PhantomAR highly usable (SUS m = 90.8%, SD = 6.88). Feedback on the Game Experience Questionnaire was overwhelmingly positive, showing high immersion (m = 4.46, SD = 0.08) and positive affect (m = 4.97, SD = 0.05). PLP (n = 8) significantly decreased post-intervention (NRS and McGill Pain Questionnaire, p &lt; .001). Skin temperature in the residual limb increased significantly post-intervention (p &lt; .01) but did not correlate with PLP (r = − 0.08, p = 0.83). Tentacle overlay yielded mixed ownership but high agency ratings.                                         Conclusion               PhantomAR leverages mixed reality to significantly reduce Phantom Limb Pain, enhance user engagement, and alter perceptions of ownership and agency of their augmented limb through bi-manual, dynamic, full-body interactions.                                Trial registration                 DRKS00033208 (Jan. 5th 2024)</t>
  </si>
  <si>
    <t>J NeuroEngineering Rehabil</t>
  </si>
  <si>
    <t>PhantomAR</t>
  </si>
  <si>
    <t>/Users/dennis/Zotero/storage/D55XZJUZ/Prahm et al. - 2025 - PhantomAR gamified mixed reality system for alleviating phantom limb pain in upper limb amputees—de.pdf</t>
  </si>
  <si>
    <t>YSS87MSK</t>
  </si>
  <si>
    <t>Hsieh, Yu-Wei; Howe, Tsu-Hsin; Lee, Meng-Ta; Tai, Ruei-Yi; Chen, Chih-Chi</t>
  </si>
  <si>
    <t>Design and usability evaluation of an immersive virtual reality mirrored hand system for upper limb stroke rehabilitation</t>
  </si>
  <si>
    <t>Scientific Reports</t>
  </si>
  <si>
    <t>2045-2322</t>
  </si>
  <si>
    <t>10.1038/s41598-025-90698-6</t>
  </si>
  <si>
    <t>https://www.nature.com/articles/s41598-025-90698-6</t>
  </si>
  <si>
    <t>Sci Rep</t>
  </si>
  <si>
    <t>/Users/dennis/Zotero/storage/NLY88LI4/Hsieh et al. - 2025 - Design and usability evaluation of an immersive virtual reality mirrored hand system for upper limb.pdf</t>
  </si>
  <si>
    <t>KGL2KRDE</t>
  </si>
  <si>
    <t>Correa, Hanah I. S.; Silbermann, Marcos; Lopes, Mariana</t>
  </si>
  <si>
    <t>Conducting Usability Testing with Tweens on Mobile AR Platforms</t>
  </si>
  <si>
    <t>https://link.springer.com/10.1007/978-3-031-78516-0_17</t>
  </si>
  <si>
    <t>165-176</t>
  </si>
  <si>
    <t>Series Title: Communications in Computer and Information Science DOI: 10.1007/978-3-031-78516-0_17</t>
  </si>
  <si>
    <t>A4ECB6E3</t>
  </si>
  <si>
    <t>Wang, Yanbin; Tian, Yatong; Liu, Fuchang; Zhou, Haihai; Zhang, Yiwen</t>
  </si>
  <si>
    <t>Mixed reality prototyping for usability evaluation in product design: a case study of a handheld printer</t>
  </si>
  <si>
    <t>Virtual Reality</t>
  </si>
  <si>
    <t>1359-4338, 1434-9957</t>
  </si>
  <si>
    <t>10.1007/s10055-023-00895-9</t>
  </si>
  <si>
    <t>https://link.springer.com/10.1007/s10055-023-00895-9</t>
  </si>
  <si>
    <t>2024-03</t>
  </si>
  <si>
    <t>Mixed reality prototyping for usability evaluation in product design</t>
  </si>
  <si>
    <t>/Users/dennis/Zotero/storage/66R49WHX/Wang et al. - 2024 - Mixed reality prototyping for usability evaluation in product design a case study of a handheld pri.pdf</t>
  </si>
  <si>
    <t>Usability; Mixed reality; Prototyping; Product design</t>
  </si>
  <si>
    <t>JLMLE9EQ</t>
  </si>
  <si>
    <t>Meng, Yang; Songhao, Zhang; Xuechun, Zhu; XinYuan, Li</t>
  </si>
  <si>
    <t>User experience analysis of indoor design environment thermal model evaluation based on virtual reality and thermal imaging</t>
  </si>
  <si>
    <t>The International Journal of Advanced Manufacturing Technology</t>
  </si>
  <si>
    <t>0268-3768, 1433-3015</t>
  </si>
  <si>
    <t>10.1007/s00170-024-14983-w</t>
  </si>
  <si>
    <t>https://link.springer.com/10.1007/s00170-024-14983-w</t>
  </si>
  <si>
    <t>Int J Adv Manuf Technol</t>
  </si>
  <si>
    <t>CNISEQUY</t>
  </si>
  <si>
    <t>Kopel, Marek; Walczyński, Maciej; Wyrostek, Piotr</t>
  </si>
  <si>
    <t>Testing Usability of Different Implementations for VR Interaction Methods</t>
  </si>
  <si>
    <t>Advances in Computational Collective Intelligence</t>
  </si>
  <si>
    <t>978-3-031-70258-7 978-3-031-70259-4</t>
  </si>
  <si>
    <t>https://link.springer.com/10.1007/978-3-031-70259-4_22</t>
  </si>
  <si>
    <t>287-300</t>
  </si>
  <si>
    <t>Series Title: Communications in Computer and Information Science DOI: 10.1007/978-3-031-70259-4_22</t>
  </si>
  <si>
    <t>Nguyen, Ngoc-Thanh; Franczyk, Bogdan; Ludwig, André; Nunez, Manuel; Treur, Jan; Vossen, Gottfried; Kozierkiewicz, Adrianna</t>
  </si>
  <si>
    <t>9UZMRVD6</t>
  </si>
  <si>
    <t>Ntoa, Stavroula; Margetis, George; Valakou, Aikaterini; Makri, Freideriki; Dimitriou, Nikolaos; Karakostas, Iason; Kokkinis, George; Apostolakis, Konstantinos C.; Tzovaras, Dimitrios; Stephanidis, Constantine</t>
  </si>
  <si>
    <t>A Mixed-Methods Approach for the Evaluation of Situational Awareness and User Experience with Augmented Reality Technologies</t>
  </si>
  <si>
    <t>Augmented Cognition</t>
  </si>
  <si>
    <t>978-3-031-61568-9 978-3-031-61569-6</t>
  </si>
  <si>
    <t>https://link.springer.com/10.1007/978-3-031-61569-6_13</t>
  </si>
  <si>
    <t>199-219</t>
  </si>
  <si>
    <t>Series Title: Lecture Notes in Computer Science DOI: 10.1007/978-3-031-61569-6_13</t>
  </si>
  <si>
    <t>Schmorrow, Dylan D.; Fidopiastis, Cali M.</t>
  </si>
  <si>
    <t>273N6HUB</t>
  </si>
  <si>
    <t>Birrenbach, T.; Wespi, R.; Hautz, W. E.; Berger, J.; Schwab, P. R.; Papagiannakis, G.; Exadaktylos, A. K.; Sauter, T. C.</t>
  </si>
  <si>
    <t>Development and usability testing of a fully immersive VR simulation for REBOA training</t>
  </si>
  <si>
    <t>International Journal of Emergency Medicine</t>
  </si>
  <si>
    <t>1865-1380</t>
  </si>
  <si>
    <t>10.1186/s12245-023-00545-6</t>
  </si>
  <si>
    <t>https://intjem.biomedcentral.com/articles/10.1186/s12245-023-00545-6</t>
  </si>
  <si>
    <t>Abstract                            Background               Resuscitative endovascular balloon occlusion of the aorta (REBOA) is a potentially life-saving procedure for bleeding trauma patients. Being a rare and complex procedure performed in extreme situations, repetitive training of REBOA teams is critical. Evidence-based guidelines on how to train REBOA are missing, although simulation-based training has been shown to be effective but can be costly and complex. We aimed to determine the feasibility and acceptance of REBOA training using a fully immersive virtual reality (VR) REBOA simulation, as well as assess the confidence in conducting the REBOA procedure before and after the training.                                         Methods               Prospective feasibility pilot study of prehospital emergency physicians and paramedics in Bern, Switzerland, from November 2020 until March 2021. Baseline characteristics of trainees, prior training and experience in REBOA and with VR, variables of media use (usability: system usability scale, immersion/presence: Slater-Usoh-Steed, workload: NASA-TLX, user satisfaction: USEQ) as well as confidence prior and after VR training were accessed.                                         Results                                REBOA training in VR was found to be feasible without relevant VR-specific side-effects. Usability (SUS median 77.5, IQR 71.3–85) and sense of presence and immersion (Slater-Usoh-Steed median 4.8, IQR 3.8–5.5) were good, the workload without under-nor overstraining (NASA-TLX median 39, IQR 32.8–50.2) and user satisfaction high (USEQ median 26, IQR 23–29). Confidence of trainees in conducting REBOA increased significantly after training (                 p                  &lt; 0.001).                                                        Conclusions               Procedural training of the REBOA procedure in immersive virtual reality is possible with a good acceptance and high usability. REBOA VR training can be an important part of a training curriculum, with the virtual reality-specific advantages of a time- and instructor-independent learning.</t>
  </si>
  <si>
    <t>Int J Emerg Med</t>
  </si>
  <si>
    <t>/Users/dennis/Zotero/storage/CLJFYS47/Birrenbach et al. - 2023 - Development and usability testing of a fully immersive VR simulation for REBOA training.pdf</t>
  </si>
  <si>
    <t>LU5QD3PP</t>
  </si>
  <si>
    <t>Campoverde-Durán, R.; Garzón-Vera, B.</t>
  </si>
  <si>
    <t>Mixed Reality: Evaluation of the User Experience to Improve the Interpretation of the Archaeological Heritage</t>
  </si>
  <si>
    <t>Communication and Applied Technologies</t>
  </si>
  <si>
    <t>978-981-19-6346-9 978-981-19-6347-6</t>
  </si>
  <si>
    <t>https://link.springer.com/10.1007/978-981-19-6347-6_48</t>
  </si>
  <si>
    <t>537-546</t>
  </si>
  <si>
    <t>Mixed Reality</t>
  </si>
  <si>
    <t>Springer Nature Singapore</t>
  </si>
  <si>
    <t>Singapore</t>
  </si>
  <si>
    <t>Series Title: Smart Innovation, Systems and Technologies DOI: 10.1007/978-981-19-6347-6_48</t>
  </si>
  <si>
    <t>López-López, Paulo Carlos; Barredo, Daniel; Torres-Toukoumidis, Ángel; De-Santis, Andrea; Avilés, Óscar</t>
  </si>
  <si>
    <t>YZSHEI6H</t>
  </si>
  <si>
    <t>Sunday, Kissinger; Oyelere, Solomon Sunday; Agbo, Friday Joseph; Aliyu, Muhammad Bello; Balogun, Oluwafemi Samson; Bouali, Nacir</t>
  </si>
  <si>
    <t>Usability Evaluation of Imikode Virtual Reality Game to Facilitate Learning of Object-Oriented Programming</t>
  </si>
  <si>
    <t>Technology, Knowledge and Learning</t>
  </si>
  <si>
    <t>2211-1662, 2211-1670</t>
  </si>
  <si>
    <t>10.1007/s10758-022-09634-6</t>
  </si>
  <si>
    <t>https://link.springer.com/10.1007/s10758-022-09634-6</t>
  </si>
  <si>
    <t>Abstract             Many empirical studies have shown that educational games and recent technologies impact education and increase learning effectiveness, students’ motivation and engagement. The overall aim of this study is to evaluate the usability of Imikode, a virtual reality (VR) game that was developed to introduce the concepts of object-oriented programming to novices. The improved version of the Imikode VR game consists of three features: An artificial intelligence component designed to provide real-time error feedback to users, an intelligent agent that guides and teaches users how to play the game and finally, the integration of multiple game play that gives learners more opportunities to explore the VR environment for greater immersive learning experience. This study adopted a survey approach and recruited first-year computer science students to measure learner satisfaction with educational virtual reality games and examined the correlations among the attributes of the Usefulness, Satisfaction and Ease of Use questionnaire of usage of Imikode. The results showed that the students were satisfied with Imikode and perceived the virtual reality educational game as very useful for learning object-oriented programming concepts. In addition, there was a correlation among the questionnaire variables, which means that researchers can use the instrument for future usability studies in the context. We further proffered some design recommendations for building software tools.</t>
  </si>
  <si>
    <t>2023-12</t>
  </si>
  <si>
    <t>1871-1902</t>
  </si>
  <si>
    <t>Tech Know Learn</t>
  </si>
  <si>
    <t>/Users/dennis/Zotero/storage/3QG9ZYIS/Sunday et al. - 2023 - Usability Evaluation of Imikode Virtual Reality Game to Facilitate Learning of Object-Oriented Progr.pdf</t>
  </si>
  <si>
    <t>WADF4AM9</t>
  </si>
  <si>
    <t>Mohammadrezaei, Elham; Sarshartehrani, Fatemeh; Behravan, Majid; Gračanin, Denis</t>
  </si>
  <si>
    <t>Exploring the Effectiveness of Augmented and Virtual Reality for Visualizing Complex Lighting Simulation Data Structures and Evaluating User Experience</t>
  </si>
  <si>
    <t>https://link.springer.com/10.1007/978-3-031-78516-0_20</t>
  </si>
  <si>
    <t>198-205</t>
  </si>
  <si>
    <t>Series Title: Communications in Computer and Information Science DOI: 10.1007/978-3-031-78516-0_20</t>
  </si>
  <si>
    <t>BLDJ7LBB</t>
  </si>
  <si>
    <t>Dutta, Rubina; Mantri, Archana; Singh, Gurjinder</t>
  </si>
  <si>
    <t>Evaluating system usability of mobile augmented reality application for teaching Karnaugh-Maps</t>
  </si>
  <si>
    <t>Smart Learning Environments</t>
  </si>
  <si>
    <t>2196-7091</t>
  </si>
  <si>
    <t>10.1186/s40561-022-00189-8</t>
  </si>
  <si>
    <t>https://slejournal.springeropen.com/articles/10.1186/s40561-022-00189-8</t>
  </si>
  <si>
    <t>Abstract             The education system evolves and transforms towards interactive and immersive learning tools in this digital age. Augmented reality has also evolved as a ubiquitous, robust, and effective technology for providing innovative educational tools. In engineering education, many abstract concepts require technological intervention for conceptual understanding and better instructional content. While learning through the immersive tools, system usability has great importance in terms of effectiveness, efficiency, and satisfaction. Effectiveness refers to users' accuracy and completeness in achieving defined goals; efficiency relates to expended resources about the precision and completeness with which users achieve their objectives; satisfaction deals with a positive attitude towards using the product. If the system fails to provide good usability, it may cause adverse effects such as increasing stress, lacking necessary features, increasing the users' cognitive load, and negatively impacting the student's motivation. In this study, two mobile augmented reality (MAR) applications were developed as an instructional tool to teach the students about Karnaugh maps in the digital electronics course. The first application is a Keypad-based MAR application that uses a keypad matrix for user interaction and the second application is a Marker-based MAR application that uses multiple markers to solve K-Map for producing an optimum solution of the given problem. An experimental study was conducted to determine the student's opinion of the developed MAR applications. The study was designed to determine the system usability of the two MAR applications using the System Usability Score (SUS) and Handheld Augmented Reality Usability Score (HARUS) models. 90 engineering students participated in the study, and they were randomly divided into two different groups: keypad-based group and Marker-based group. The keypad-based group included 47 students who had hands-on experience with a keypad-based MAR application, whereas the marker-based group included 43 students who had hands-on experience with multiple marker-based MAR applications. The experimental outcomes indicated that the keypad-based MAR application has better SUS and HARUS scores than the marker-based MAR application which suggests that the keypad-based MAR application has provided better user interaction.</t>
  </si>
  <si>
    <t>2022-12</t>
  </si>
  <si>
    <t>Smart Learn. Environ.</t>
  </si>
  <si>
    <t>/Users/dennis/Zotero/storage/UEU5W57M/Dutta et al. - 2022 - Evaluating system usability of mobile augmented reality application for teaching Karnaugh-Maps.pdf</t>
  </si>
  <si>
    <t>6CNIAIG6</t>
  </si>
  <si>
    <t>Poma, Alvaro; Aldaves, Piero; Canaval, Luis</t>
  </si>
  <si>
    <t>Spread Virus: Usability Evaluation on a Mobile Augmented Reality Videogame</t>
  </si>
  <si>
    <t>Trends in Artificial Intelligence and Computer Engineering</t>
  </si>
  <si>
    <t>978-3-031-25941-8 978-3-031-25942-5</t>
  </si>
  <si>
    <t>https://link.springer.com/10.1007/978-3-031-25942-5_49</t>
  </si>
  <si>
    <t>632-643</t>
  </si>
  <si>
    <t>Spread Virus</t>
  </si>
  <si>
    <t>Series Title: Lecture Notes in Networks and Systems DOI: 10.1007/978-3-031-25942-5_49</t>
  </si>
  <si>
    <t>Botto-Tobar, Miguel; Gómez, Omar S.; Rosero Miranda, Raul; Díaz Cadena, Angela; Luna-Encalada, Washington</t>
  </si>
  <si>
    <t>9Y86WNVC</t>
  </si>
  <si>
    <t>Tzortzoglou, Filippos; Sofos, Alivisos</t>
  </si>
  <si>
    <t>Evaluating the Usability of Mobile-Based Augmented Reality Applications for Education: A Systematic Review</t>
  </si>
  <si>
    <t>Research on E-Learning and ICT in Education</t>
  </si>
  <si>
    <t>978-3-031-34290-5 978-3-031-34291-2</t>
  </si>
  <si>
    <t>https://link.springer.com/10.1007/978-3-031-34291-2_7</t>
  </si>
  <si>
    <t>105-135</t>
  </si>
  <si>
    <t>Evaluating the Usability of Mobile-Based Augmented Reality Applications for Education</t>
  </si>
  <si>
    <t>Springer International Publishing</t>
  </si>
  <si>
    <t>DOI: 10.1007/978-3-031-34291-2_7</t>
  </si>
  <si>
    <t>Bratitsis, Tharrenos</t>
  </si>
  <si>
    <t>37UJ37F8</t>
  </si>
  <si>
    <t>Huang, Hsinfu; Liu, Guiru</t>
  </si>
  <si>
    <t>Evaluating students’ behavioral intention and system usability of augmented reality-aided distance design learning during the COVID-19 pandemic</t>
  </si>
  <si>
    <t>Universal Access in the Information Society</t>
  </si>
  <si>
    <t>1615-5289, 1615-5297</t>
  </si>
  <si>
    <t>10.1007/s10209-022-00920-9</t>
  </si>
  <si>
    <t>https://link.springer.com/10.1007/s10209-022-00920-9</t>
  </si>
  <si>
    <t>2024-08</t>
  </si>
  <si>
    <t>1217-1231</t>
  </si>
  <si>
    <t>Univ Access Inf Soc</t>
  </si>
  <si>
    <t>/Users/dennis/Zotero/storage/R43YQLE9/Huang und Liu - 2024 - Evaluating students’ behavioral intention and system usability of augmented reality-aided distance d.pdf</t>
  </si>
  <si>
    <t>System usability; Augmented reality (AR); Behavioral intentions; COVID-19 pandemic; Distance learning</t>
  </si>
  <si>
    <t>ZG4TNDL7</t>
  </si>
  <si>
    <t>Refae, Sema; Ragab, Tarek; Samir, Haitham</t>
  </si>
  <si>
    <t>Augmented Reality (AR) for Urban Cultural Heritage Interpretation: A User Experience Evaluation</t>
  </si>
  <si>
    <t>Research and Innovation Forum 2022</t>
  </si>
  <si>
    <t>978-3-031-19559-4 978-3-031-19560-0</t>
  </si>
  <si>
    <t>https://link.springer.com/10.1007/978-3-031-19560-0_23</t>
  </si>
  <si>
    <t>283-298</t>
  </si>
  <si>
    <t>Augmented Reality (AR) for Urban Cultural Heritage Interpretation</t>
  </si>
  <si>
    <t>Series Title: Springer Proceedings in Complexity DOI: 10.1007/978-3-031-19560-0_23</t>
  </si>
  <si>
    <t>Visvizi, Anna; Troisi, Orlando; Grimaldi, Mara</t>
  </si>
  <si>
    <t>2PN5ATX5</t>
  </si>
  <si>
    <t>Meekins, Shaimeira; Ballou, Elijah; Mack, Naja A.</t>
  </si>
  <si>
    <t>Dreadphobia: Evaluating the Usability of a Virtual Reality Application in Support of Mental Health</t>
  </si>
  <si>
    <t>HCI International 2023 – Late Breaking Posters</t>
  </si>
  <si>
    <t>978-3-031-49211-2 978-3-031-49212-9</t>
  </si>
  <si>
    <t>https://link.springer.com/10.1007/978-3-031-49212-9_49</t>
  </si>
  <si>
    <t>397-402</t>
  </si>
  <si>
    <t>Dreadphobia</t>
  </si>
  <si>
    <t>Series Title: Communications in Computer and Information Science DOI: 10.1007/978-3-031-49212-9_49</t>
  </si>
  <si>
    <t>J7CLAFX3</t>
  </si>
  <si>
    <t>Sumithra, T. V.; Ragha, Leena</t>
  </si>
  <si>
    <t>User Experience Evaluation for Pre-primary Children Using an Augmented Reality Animal-Themed Phonics System</t>
  </si>
  <si>
    <t>ICT Infrastructure and Computing</t>
  </si>
  <si>
    <t>978-981-99-4931-1 978-981-99-4932-8</t>
  </si>
  <si>
    <t>https://link.springer.com/10.1007/978-981-99-4932-8_22</t>
  </si>
  <si>
    <t>227-236</t>
  </si>
  <si>
    <t>Series Title: Lecture Notes in Networks and Systems DOI: 10.1007/978-981-99-4932-8_22</t>
  </si>
  <si>
    <t>Tuba, Milan; Akashe, Shyam; Joshi, Amit</t>
  </si>
  <si>
    <t>Q3KFXXVF</t>
  </si>
  <si>
    <t>Othman, Mohd Kamal; Nogoibaeva, Altynai; Leong, Lai San; Barawi, Mohamad Hardyman</t>
  </si>
  <si>
    <t>Usability evaluation of a virtual reality smartphone app for a living museum</t>
  </si>
  <si>
    <t>10.1007/s10209-021-00820-4</t>
  </si>
  <si>
    <t>https://link.springer.com/10.1007/s10209-021-00820-4</t>
  </si>
  <si>
    <t>Abstract                            This paper elaborates the empirical evidence of a usability evaluation of a VR and non-VR virtual tour application for a living museum. The System Usability Scale (SUS) was used in between participants experiments (Group 1: non-VR version and Group 2: VR version) with 40 participants. The results show that the mean scores of all components for the VR version are higher compared to the non-VR version, overall SUS score (72.10 vs 68.10), usability score (75.50 vs 71.70), and learnability (58.40 vs 57.00). Further analysis using a two-tailed independent               t               test showed no difference between the non-VR and VR versions. Additionally, no significant difference was observed between the groups in the context of gender, nationality, and prior experience (other VR tour applications) for overall SUS score, usability score, and learnability score. Α two-tailed independent               t               test indicated no significant difference in the usability score between participants with VR experience and no VR experience. However, a significant difference was found between participants with VR experience and no VR experience for both SUS score (               t               (38) = 2.17,               p                = 0.037) and learnability score (               t               (38) = 2.40,               p                = 0.021). The independent               t               test results indicated a significant difference between participant with and without previous visits to SCV for the usability score (               t               (38) = −2.31,               p                = 0.027), while there was no significant differences observed in other components. It can be concluded that both versions passed based on the SUS score. However, the sub-scale usability and learnability scores indicated some usability issue.</t>
  </si>
  <si>
    <t>2022-11</t>
  </si>
  <si>
    <t>995-1012</t>
  </si>
  <si>
    <t>/Users/dennis/Zotero/storage/UCE3PDWU/Othman et al. - 2022 - Usability evaluation of a virtual reality smartphone app for a living museum.pdf</t>
  </si>
  <si>
    <t>Google Cardboard; Mobile guide; Smartphone app; Usability; User experience; Virtual reality; Virtual tour</t>
  </si>
  <si>
    <t>ZFZ2U5E2</t>
  </si>
  <si>
    <t>Baki, Ramisha; Mumu, Afnan; Zannat, Riyadil; Rahman, Mouneeta; Mahmud, Hasan; Islam, Muhammad Nazrul</t>
  </si>
  <si>
    <t>Usability Analysis of Augmented Reality-Based Learning Applications for Kids: Insights from SUS and Heuristic Evaluation</t>
  </si>
  <si>
    <t>Advances in Design and Digital Communication IV</t>
  </si>
  <si>
    <t>978-3-031-47280-0 978-3-031-47281-7</t>
  </si>
  <si>
    <t>https://link.springer.com/10.1007/978-3-031-47281-7_10</t>
  </si>
  <si>
    <t>122-135</t>
  </si>
  <si>
    <t>Usability Analysis of Augmented Reality-Based Learning Applications for Kids</t>
  </si>
  <si>
    <t>Series Title: Springer Series in Design and Innovation DOI: 10.1007/978-3-031-47281-7_10</t>
  </si>
  <si>
    <t>Martins, Nuno; Brandão, Daniel</t>
  </si>
  <si>
    <t>9MLK529D</t>
  </si>
  <si>
    <t>Yunuo, Cheng; Xia, Zhong; Min, Ye; Liwei, Tian</t>
  </si>
  <si>
    <t>Usability Evaluation of in-Vehicle AR-HUD Interface Applying AHP-GRA</t>
  </si>
  <si>
    <t>Human-Centric Intelligent Systems</t>
  </si>
  <si>
    <t>2667-1336</t>
  </si>
  <si>
    <t>10.1007/s44230-022-00011-1</t>
  </si>
  <si>
    <t>https://link.springer.com/10.1007/s44230-022-00011-1</t>
  </si>
  <si>
    <t>Abstract             Usability is regarded to be a fundamental requirement for in-vehicle HMIs, and usability evaluation reflects the impact of the interface and the acceptance from the users. This study introduced a usability evaluation model of AR-HUD interface by applying grey analytic hierarchy process (AHP). First, based on the ameliorated PSSUQ (Post-Study System Usability Questionnaire), the usability evaluation system was modified and optimized according to the characteristics of AR-HUD. On this basis, the preference weights for evaluation indexes were calculated by AHP and the idea of group decision. Finally, the criteria of usability were integrated into grey relational degree by applying grey relational analysis (GRA) to obtain optimal design. A case study was conducted to demonstrate the applicability of the developed model to the usability evaluation of AR-HUD interface design. According to the existing AR-HUD interface design, 7 dimensions of design elements (A-G) and 18 interface prototypes (S1-S18) were selected by Taguchi orthogonal array test (TOAT). As the results indicated, the grey relational degree of S5 was 0.923, signifying that it was the optimal sample; and the results were also compared with entropy-TOPSIS to verify the feasibility of the proposed method. The grey-based AHP evaluation model can be used to evaluate the usability level of AR-HUD interface effectively, which may help designers achieve insights for design process and samples decision-making.</t>
  </si>
  <si>
    <t>124-137</t>
  </si>
  <si>
    <t>Hum-Cent Intell Syst</t>
  </si>
  <si>
    <t>/Users/dennis/Zotero/storage/M6YQTFPV/Yunuo et al. - 2022 - Usability Evaluation of in-Vehicle AR-HUD Interface Applying AHP-GRA.pdf</t>
  </si>
  <si>
    <t>NF5KW9JP</t>
  </si>
  <si>
    <t>Nisiotis, Louis; Souropetsis, Markos; Kyza, Eleni A.</t>
  </si>
  <si>
    <t>Embracing Cultural Heritage Through Virtual Reality: Development, Usability and Enjoyment Evaluation of a VR Environment for the Church of Panagia Aggeloktisti</t>
  </si>
  <si>
    <t>978-3-031-43403-7 978-3-031-43404-4</t>
  </si>
  <si>
    <t>https://link.springer.com/10.1007/978-3-031-43404-4_15</t>
  </si>
  <si>
    <t>227-246</t>
  </si>
  <si>
    <t>Embracing Cultural Heritage Through Virtual Reality</t>
  </si>
  <si>
    <t>Series Title: Lecture Notes in Computer Science DOI: 10.1007/978-3-031-43404-4_15</t>
  </si>
  <si>
    <t>XGPWIW3B</t>
  </si>
  <si>
    <t>Heinemann, Birte; Schroeder, Ulrik</t>
  </si>
  <si>
    <t>Evaluating Usability and User Feedback in an Immersive Virtual Reality Environment for Computer Science Education</t>
  </si>
  <si>
    <t>Responsive and Sustainable Educational Futures</t>
  </si>
  <si>
    <t>978-3-031-42681-0 978-3-031-42682-7</t>
  </si>
  <si>
    <t>https://link.springer.com/10.1007/978-3-031-42682-7_67</t>
  </si>
  <si>
    <t>718-724</t>
  </si>
  <si>
    <t>Series Title: Lecture Notes in Computer Science DOI: 10.1007/978-3-031-42682-7_67</t>
  </si>
  <si>
    <t>Viberg, Olga; Jivet, Ioana; Muñoz-Merino, Pedro J.; Perifanou, Maria; Papathoma, Tina</t>
  </si>
  <si>
    <t>AAMJ5XXQ</t>
  </si>
  <si>
    <t>Scienza, Livia; Macedo Braga, Aecio Jorge; Freitas Da Silva, Lucia Paloma; Maciel De Maciel, Mariana</t>
  </si>
  <si>
    <t>User Experience and Immersion in VR and Non-VR Versions of Slime Rancher: A Playtest Evaluation with the ARI Questionnaire and GUESS-18 Scale</t>
  </si>
  <si>
    <t>HCI International 2023 Posters</t>
  </si>
  <si>
    <t>978-3-031-36003-9 978-3-031-36004-6</t>
  </si>
  <si>
    <t>https://link.springer.com/10.1007/978-3-031-36004-6_41</t>
  </si>
  <si>
    <t>300-307</t>
  </si>
  <si>
    <t>User Experience and Immersion in VR and Non-VR Versions of Slime Rancher</t>
  </si>
  <si>
    <t>Series Title: Communications in Computer and Information Science DOI: 10.1007/978-3-031-36004-6_41</t>
  </si>
  <si>
    <t>RXYLW2IJ</t>
  </si>
  <si>
    <t>Kujur, Abhijeet; Khan, Sadaf H.; Kumar, Jyoti</t>
  </si>
  <si>
    <t>Neurophysiological UX Evaluation of Industry 4.0 Technologies: E-commerce, e-learning Websites, and VR Simulation</t>
  </si>
  <si>
    <t>Design in the Era of Industry 4.0, Volume 1</t>
  </si>
  <si>
    <t>978-981-99-0292-7 978-981-99-0293-4</t>
  </si>
  <si>
    <t>https://link.springer.com/10.1007/978-981-99-0293-4_55</t>
  </si>
  <si>
    <t>689-700</t>
  </si>
  <si>
    <t>Neurophysiological UX Evaluation of Industry 4.0 Technologies</t>
  </si>
  <si>
    <t>Series Title: Smart Innovation, Systems and Technologies DOI: 10.1007/978-981-99-0293-4_55</t>
  </si>
  <si>
    <t>Chakrabarti, Amaresh; Singh, Vishal</t>
  </si>
  <si>
    <t>ATBB4CG4</t>
  </si>
  <si>
    <t>Tasfia, Sheikh; Islam, Muhammad Nazrul; Nusrat, Syeda Ajbina; Jahan, Nusrat</t>
  </si>
  <si>
    <t>Evaluating Usability of AR-based Learning Applications for Children Using SUS and Heuristic Evaluation</t>
  </si>
  <si>
    <t>Proceedings of the Fourth International Conference on Trends in Computational and Cognitive Engineering</t>
  </si>
  <si>
    <t>978-981-19-9482-1 978-981-19-9483-8</t>
  </si>
  <si>
    <t>https://link.springer.com/10.1007/978-981-19-9483-8_8</t>
  </si>
  <si>
    <t>87-98</t>
  </si>
  <si>
    <t>Series Title: Lecture Notes in Networks and Systems DOI: 10.1007/978-981-19-9483-8_8</t>
  </si>
  <si>
    <t>Kaiser, M. Shamim; Waheed, Sajjad; Bandyopadhyay, Anirban; Mahmud, Mufti; Ray, Kanad</t>
  </si>
  <si>
    <t>DNVZDL9A</t>
  </si>
  <si>
    <t>Picka, Effi Freya; Vogel, Annika; Roder, Marie-Sophie; Birkle, Jonas; Schrenk, Daniela; Linnemann, Jessica; Moritz, Julia; Pfeffer, Stefan</t>
  </si>
  <si>
    <t>Virtual Usability Testing (VIRTUSE) - Development of a Methodical Approach for Usability Testing in VR</t>
  </si>
  <si>
    <t>HCI International 2022 Posters</t>
  </si>
  <si>
    <t>978-3-031-06416-6 978-3-031-06417-3</t>
  </si>
  <si>
    <t>https://link.springer.com/10.1007/978-3-031-06417-3_15</t>
  </si>
  <si>
    <t>109-116</t>
  </si>
  <si>
    <t>Series Title: Communications in Computer and Information Science DOI: 10.1007/978-3-031-06417-3_15</t>
  </si>
  <si>
    <t>Stephanidis, Constantine; Antona, Margherita; Ntoa, Stavroula</t>
  </si>
  <si>
    <t>MD6HQMRF</t>
  </si>
  <si>
    <t>Karakaya, Kadiray; Yigitbas, Enes; Engels, Gregor</t>
  </si>
  <si>
    <t>Automated UX Evaluation for User-Centered Design of VR Interfaces</t>
  </si>
  <si>
    <t>Human-Centered Software Engineering</t>
  </si>
  <si>
    <t>978-3-031-14784-5 978-3-031-14785-2</t>
  </si>
  <si>
    <t>https://link.springer.com/10.1007/978-3-031-14785-2_9</t>
  </si>
  <si>
    <t>140-149</t>
  </si>
  <si>
    <t>Series Title: Lecture Notes in Computer Science DOI: 10.1007/978-3-031-14785-2_9</t>
  </si>
  <si>
    <t>Bernhaupt, Regina; Ardito, Carmelo; Sauer, Stefan</t>
  </si>
  <si>
    <t>QMDJ79PQ</t>
  </si>
  <si>
    <t>Soares, João; Martins, Jerome; Arica, Emrah; Schmitt, Robert; Wacker, Jochen; Rettig, Christoph; Powell, Daryl; Oliveira, Manuel</t>
  </si>
  <si>
    <t>Experimentation and Evaluation of the Usability of an AR-Driven Zero Defect Manufacturing Solution in a Real Life Complex Assembly Setting</t>
  </si>
  <si>
    <t>Advances in Production Management Systems. Production Management Systems for Volatile, Uncertain, Complex, and Ambiguous Environments</t>
  </si>
  <si>
    <t>978-3-031-65893-8 978-3-031-65894-5</t>
  </si>
  <si>
    <t>https://link.springer.com/10.1007/978-3-031-65894-5_20</t>
  </si>
  <si>
    <t>278-289</t>
  </si>
  <si>
    <t>Series Title: IFIP Advances in Information and Communication Technology DOI: 10.1007/978-3-031-65894-5_20</t>
  </si>
  <si>
    <t>Thürer, Matthias; Riedel, Ralph; Von Cieminski, Gregor; Romero, David</t>
  </si>
  <si>
    <t>KU4XWP2L</t>
  </si>
  <si>
    <t>Papageorgiou, Andreas; Sommerhalder, Dominik; Besson, Marc; Christ, Oliver</t>
  </si>
  <si>
    <t>Testing UX Performance and Reception by Combining Emulated Android GUI with Virtual Reality Prototyping</t>
  </si>
  <si>
    <t>Human Interaction, Emerging Technologies and Future Systems V</t>
  </si>
  <si>
    <t>978-3-030-85539-0 978-3-030-85540-6</t>
  </si>
  <si>
    <t>https://link.springer.com/10.1007/978-3-030-85540-6_97</t>
  </si>
  <si>
    <t>768-773</t>
  </si>
  <si>
    <t>Series Title: Lecture Notes in Networks and Systems DOI: 10.1007/978-3-030-85540-6_97</t>
  </si>
  <si>
    <t>Ahram, Tareq; Taiar, Redha</t>
  </si>
  <si>
    <t>9ZQN9KV7</t>
  </si>
  <si>
    <t>Bauer, Valentin; Bouchara, Tifanie; Duris, Olivier; Labossière, Charlotte; Clément, Marie-Noëlle; Bourdot, Patrick</t>
  </si>
  <si>
    <t>Evaluating the Acceptability and Usability of a Head-Mounted Augmented Reality Approach for Autistic Children with High Support Needs</t>
  </si>
  <si>
    <t>Virtual Reality and Mixed Reality</t>
  </si>
  <si>
    <t>978-3-031-16233-6 978-3-031-16234-3</t>
  </si>
  <si>
    <t>https://link.springer.com/10.1007/978-3-031-16234-3_4</t>
  </si>
  <si>
    <t>53-72</t>
  </si>
  <si>
    <t>Series Title: Lecture Notes in Computer Science DOI: 10.1007/978-3-031-16234-3_4</t>
  </si>
  <si>
    <t>/Users/dennis/Zotero/storage/PAYZD2LM/Bauer et al. - 2022 - Evaluating the Acceptability and Usability of a Head-Mounted Augmented Reality Approach for Autistic.pdf</t>
  </si>
  <si>
    <t>Zachmann, Gabriel; Alcañiz Raya, Mariano; Bourdot, Patrick; Marchal, Maud; Stefanucci, Jeanine; Yang, Xubo</t>
  </si>
  <si>
    <t>U64PUVKS</t>
  </si>
  <si>
    <t>Winter, Carla; Kern, Florian; Gall, Dominik; Latoschik, Marc Erich; Pauli, Paul; Käthner, Ivo</t>
  </si>
  <si>
    <t>Immersive virtual reality during gait rehabilitation increases walking speed and motivation: a usability evaluation with healthy participants and patients with multiple sclerosis and stroke</t>
  </si>
  <si>
    <t>10.1186/s12984-021-00848-w</t>
  </si>
  <si>
    <t>https://jneuroengrehab.biomedcentral.com/articles/10.1186/s12984-021-00848-w</t>
  </si>
  <si>
    <t>Abstract                            Background               The rehabilitation of gait disorders in patients with multiple sclerosis (MS) and stroke is often based on conventional treadmill training. Virtual reality (VR)-based treadmill training can increase motivation and improve therapy outcomes. The present study evaluated an immersive virtual reality application (using a head-mounted display, HMD) for gait rehabilitation with patients to (1) demonstrate its feasibility and acceptance and to (2) compare its short-term effects to a semi-immersive presentation (using a monitor) and a conventional treadmill training without VR to assess the usability of both systems and estimate the effects on walking speed and motivation.                                         Methods               In a within-subjects study design, 36 healthy participants and 14 persons with MS or stroke participated in each of the three experimental conditions (VR via HMD, VR via monitor, treadmill training without VR).                                         Results               For both groups, the walking speed in the HMD condition was higher than in treadmill training without VR and in the monitor condition. Healthy participants reported a higher motivation after the HMD condition as compared with the other conditions. Importantly, no side effects in the sense of simulator sickness occurred and usability ratings were high. No increases in heart rate were observed following the VR conditions. Presence ratings were higher for the HMD condition compared with the monitor condition for both user groups. Most of the healthy study participants (89%) and patients (71%) preferred the HMD-based training among the three conditions and most patients could imagine using it more frequently.                                         Conclusions               For the first time, the present study evaluated the usability of an immersive VR system for gait rehabilitation in a direct comparison with a semi-immersive system and a conventional training without VR with healthy participants and patients. The study demonstrated the feasibility of combining a treadmill training with immersive VR. Due to its high usability and low side effects, it might be particularly suited for patients to improve training motivation and training outcome e. g. the walking speed compared with treadmill training using no or only semi-immersive VR. Immersive VR systems still require specific technical setup procedures. This should be taken into account for specific clinical use-cases during a cost–benefit assessment.</t>
  </si>
  <si>
    <t>2021-12</t>
  </si>
  <si>
    <t>Immersive virtual reality during gait rehabilitation increases walking speed and motivation</t>
  </si>
  <si>
    <t>/Users/dennis/Zotero/storage/5XJRZRTW/Winter et al. - 2021 - Immersive virtual reality during gait rehabilitation increases walking speed and motivation a usabi.pdf</t>
  </si>
  <si>
    <t>TNZHVZDY</t>
  </si>
  <si>
    <t>Kawakami, Guto; Khurshid, Aasim; Gadelha, Mikhail R.</t>
  </si>
  <si>
    <t>Software Usability Evaluation for Augmented Reality Through User Tests</t>
  </si>
  <si>
    <t>HCI International 2021 - Late Breaking Posters</t>
  </si>
  <si>
    <t>978-3-030-90175-2 978-3-030-90176-9</t>
  </si>
  <si>
    <t>https://link.springer.com/10.1007/978-3-030-90176-9_45</t>
  </si>
  <si>
    <t>349-356</t>
  </si>
  <si>
    <t>Series Title: Communications in Computer and Information Science DOI: 10.1007/978-3-030-90176-9_45</t>
  </si>
  <si>
    <t>JKUIF36U</t>
  </si>
  <si>
    <t>Zilles Borba, Eduardo; Corrêa, Ana Grasielle; De Deus Lopes, Roseli; Zuffo, Marcelo</t>
  </si>
  <si>
    <t>Usability in virtual reality: evaluating user experience with interactive archaeometry tools in digital simulations</t>
  </si>
  <si>
    <t>Multimedia Tools and Applications</t>
  </si>
  <si>
    <t>1380-7501, 1573-7721</t>
  </si>
  <si>
    <t>10.1007/s11042-019-07924-3</t>
  </si>
  <si>
    <t>http://link.springer.com/10.1007/s11042-019-07924-3</t>
  </si>
  <si>
    <t>2020-02</t>
  </si>
  <si>
    <t>3425-3447</t>
  </si>
  <si>
    <t>Multimed Tools Appl</t>
  </si>
  <si>
    <t>Usability in virtual reality</t>
  </si>
  <si>
    <t>/Users/dennis/Zotero/storage/ZJH6N8KH/Zilles Borba et al. - 2020 - Usability in virtual reality evaluating user experience with interactive archaeometry tools in digi.pdf</t>
  </si>
  <si>
    <t>5URCZXM5</t>
  </si>
  <si>
    <t>Bourhim, El Mostafa; Cherkaoui, Abdelghani</t>
  </si>
  <si>
    <t>Usability Evaluation of Virtual Reality-Based Fire Training Simulator Using a Combined AHP and Fuzzy Comprehensive Evaluation Approach</t>
  </si>
  <si>
    <t>Data Intelligence and Cognitive Informatics</t>
  </si>
  <si>
    <t>978-981-15-8529-6 978-981-15-8530-2</t>
  </si>
  <si>
    <t>http://link.springer.com/10.1007/978-981-15-8530-2_73</t>
  </si>
  <si>
    <t>923-931</t>
  </si>
  <si>
    <t>Springer Singapore</t>
  </si>
  <si>
    <t>Series Title: Algorithms for Intelligent Systems DOI: 10.1007/978-981-15-8530-2_73</t>
  </si>
  <si>
    <t>Jeena Jacob, I.; Kolandapalayam Shanmugam, Selvanayaki; Piramuthu, Selwyn; Falkowski-Gilski, Przemyslaw</t>
  </si>
  <si>
    <t>4D7JXLZX</t>
  </si>
  <si>
    <t>Knigge, Jan-Karl</t>
  </si>
  <si>
    <t>Experimental Design for Evaluating the Usability of Virtual Reality for Planning and Training in the Context of Manual Order Picking and Execution of the Study</t>
  </si>
  <si>
    <t>Virtual Reality in Manual Order Picking</t>
  </si>
  <si>
    <t>978-3-658-34703-1 978-3-658-34704-8</t>
  </si>
  <si>
    <t>https://link.springer.com/10.1007/978-3-658-34704-8_4</t>
  </si>
  <si>
    <t>57-100</t>
  </si>
  <si>
    <t>Springer Fachmedien Wiesbaden</t>
  </si>
  <si>
    <t>Wiesbaden</t>
  </si>
  <si>
    <t>DOI: 10.1007/978-3-658-34704-8_4</t>
  </si>
  <si>
    <t>IIAQTJJD</t>
  </si>
  <si>
    <t>conferencePaper</t>
  </si>
  <si>
    <t>Brice, Daniel; Rafferty, Karen; McLoone, Seán</t>
  </si>
  <si>
    <t>AugmenTech: The Usability Evaluation of an AR System for Maintenance in Industry</t>
  </si>
  <si>
    <t>Augmented Reality, Virtual Reality, and Computer Graphics: 7th International Conference, AVR 2020, Lecce, Italy, September 7–10, 2020, Proceedings, Part II</t>
  </si>
  <si>
    <t>978-3-030-58467-2 978-3-030-58468-9</t>
  </si>
  <si>
    <t>10.1007/978-3-030-58468-9_21</t>
  </si>
  <si>
    <t>https://link.springer.com/10.1007/978-3-030-58468-9_21</t>
  </si>
  <si>
    <t>284-303</t>
  </si>
  <si>
    <t>AugmenTech</t>
  </si>
  <si>
    <t>Series Title: Lecture Notes in Computer Science</t>
  </si>
  <si>
    <t>AR training; Maintenance; Usability testing</t>
  </si>
  <si>
    <t>De Paolis, Lucio Tommaso; Bourdot, Patrick</t>
  </si>
  <si>
    <t>NJAFPM5S</t>
  </si>
  <si>
    <t>Eiris Pereira, R.; Moore, H. F.; Gheisari, M.; Esmaeili, B.</t>
  </si>
  <si>
    <t>Development and Usability Testing of a Panoramic Augmented Reality Environment for Fall Hazard Safety Training</t>
  </si>
  <si>
    <t>Advances in Informatics and Computing in Civil and Construction Engineering</t>
  </si>
  <si>
    <t>978-3-030-00219-0 978-3-030-00220-6</t>
  </si>
  <si>
    <t>http://link.springer.com/10.1007/978-3-030-00220-6_33</t>
  </si>
  <si>
    <t>271-279</t>
  </si>
  <si>
    <t>DOI: 10.1007/978-3-030-00220-6_33</t>
  </si>
  <si>
    <t>Mutis, Ivan; Hartmann, Timo</t>
  </si>
  <si>
    <t>MZNVW5KE</t>
  </si>
  <si>
    <t>Cao, Rui; Hou, Wenjun</t>
  </si>
  <si>
    <t>Research on the Interaction Design of AR Picture Books via Usability Test</t>
  </si>
  <si>
    <t>Human Centered Computing</t>
  </si>
  <si>
    <t>978-3-030-15126-3 978-3-030-15127-0</t>
  </si>
  <si>
    <t>http://link.springer.com/10.1007/978-3-030-15127-0_53</t>
  </si>
  <si>
    <t>524-534</t>
  </si>
  <si>
    <t>Series Title: Lecture Notes in Computer Science DOI: 10.1007/978-3-030-15127-0_53</t>
  </si>
  <si>
    <t>Tang, Yong; Zu, Qiaohong; Rodríguez García, José G.</t>
  </si>
  <si>
    <t>GYSD5NY6</t>
  </si>
  <si>
    <t>De Almeida Pacheco, Beatriz; Guimarães, Marcelo; Correa, Ana Grasielle; Farinazzo Martins, Valeria</t>
  </si>
  <si>
    <t>Usability Evaluation of Learning Objects with Augmented Reality for Smartphones: A Reinterpretation of Nielsen Heuristics</t>
  </si>
  <si>
    <t>Human-Computer Interaction</t>
  </si>
  <si>
    <t>978-3-030-05269-0 978-3-030-05270-6</t>
  </si>
  <si>
    <t>http://link.springer.com/10.1007/978-3-030-05270-6_16</t>
  </si>
  <si>
    <t>214-228</t>
  </si>
  <si>
    <t>Usability Evaluation of Learning Objects with Augmented Reality for Smartphones</t>
  </si>
  <si>
    <t>Series Title: Communications in Computer and Information Science DOI: 10.1007/978-3-030-05270-6_16</t>
  </si>
  <si>
    <t>Agredo-Delgado, Vanessa; Ruiz, Pablo H.</t>
  </si>
  <si>
    <t>TDUU245H</t>
  </si>
  <si>
    <t>Maciel, Francimar; Miyagawa, Taynah; Melo, Paulo; Souza, Marcos</t>
  </si>
  <si>
    <t>Evaluating the UX of a VR Game Using a Mixed Methodology</t>
  </si>
  <si>
    <t>Advances in Human Factors in Wearable Technologies and Game Design</t>
  </si>
  <si>
    <t>978-3-319-60638-5 978-3-319-60639-2</t>
  </si>
  <si>
    <t>http://link.springer.com/10.1007/978-3-319-60639-2_26</t>
  </si>
  <si>
    <t>249-257</t>
  </si>
  <si>
    <t>Series Title: Advances in Intelligent Systems and Computing DOI: 10.1007/978-3-319-60639-2_26</t>
  </si>
  <si>
    <t>Ahram, Tareq; Falcão, Christianne</t>
  </si>
  <si>
    <t>LAMPSPHE</t>
  </si>
  <si>
    <t>De França, Ana Carol Pontes; Pereira Neto, J.; Soares, Marcelo Márcio</t>
  </si>
  <si>
    <t>Methods and Procedures to Usability Testing in Virtual Reality Systems</t>
  </si>
  <si>
    <t>Advances in Ergonomics in Design</t>
  </si>
  <si>
    <t>978-3-319-60581-4 978-3-319-60582-1</t>
  </si>
  <si>
    <t>http://link.springer.com/10.1007/978-3-319-60582-1_5</t>
  </si>
  <si>
    <t>45-51</t>
  </si>
  <si>
    <t>Series Title: Advances in Intelligent Systems and Computing DOI: 10.1007/978-3-319-60582-1_5</t>
  </si>
  <si>
    <t>Rebelo, Francisco; Soares, Marcelo</t>
  </si>
  <si>
    <t>YX8PYUHE</t>
  </si>
  <si>
    <t>Regalbuto, Alessio; Livatino, Salvatore; Edwards, Kieran; Mporas, Iosif</t>
  </si>
  <si>
    <t>Mobile VR Headset Usability Evaluation of 2D and 3D Panoramic Views Captured with Different Cameras</t>
  </si>
  <si>
    <t>Interactive Collaborative Robotics</t>
  </si>
  <si>
    <t>978-3-319-66470-5 978-3-319-66471-2</t>
  </si>
  <si>
    <t>http://link.springer.com/10.1007/978-3-319-66471-2_21</t>
  </si>
  <si>
    <t>191-200</t>
  </si>
  <si>
    <t>Series Title: Lecture Notes in Computer Science DOI: 10.1007/978-3-319-66471-2_21</t>
  </si>
  <si>
    <t>Ronzhin, Andrey; Rigoll, Gerhard; Meshcheryakov, Roman</t>
  </si>
  <si>
    <t>82IKHVZG</t>
  </si>
  <si>
    <t>Zhang, Xiaotian; Choi, Young Mi</t>
  </si>
  <si>
    <t>Applying Tangible Augmented Reality in Usability Evaluation</t>
  </si>
  <si>
    <t>Virtual, Augmented and Mixed Reality</t>
  </si>
  <si>
    <t>978-3-319-21066-7 978-3-319-21067-4</t>
  </si>
  <si>
    <t>http://link.springer.com/10.1007/978-3-319-21067-4_11</t>
  </si>
  <si>
    <t>88-94</t>
  </si>
  <si>
    <t>Series Title: Lecture Notes in Computer Science DOI: 10.1007/978-3-319-21067-4_11</t>
  </si>
  <si>
    <t>Shumaker, Randall; Lackey, Stephanie</t>
  </si>
  <si>
    <t>PBJSJAAD</t>
  </si>
  <si>
    <t>Martins, Valéria Farinazzo; Kirner, Tereza Gonçalves; Kirner, Claudio</t>
  </si>
  <si>
    <t>Subjective Usability Evaluation Criteria of Augmented Reality Applications</t>
  </si>
  <si>
    <t>http://link.springer.com/10.1007/978-3-319-21067-4_5</t>
  </si>
  <si>
    <t>39-48</t>
  </si>
  <si>
    <t>Series Title: Lecture Notes in Computer Science DOI: 10.1007/978-3-319-21067-4_5</t>
  </si>
  <si>
    <t>MSC5F7BF</t>
  </si>
  <si>
    <t>Shin, Joon-Ho; Ryu, Hokyoung; Jang, Seong Ho</t>
  </si>
  <si>
    <t>A task-specific interactive game-based virtual reality rehabilitation system for patients with stroke: a usability test and two clinical experiments</t>
  </si>
  <si>
    <t>10.1186/1743-0003-11-32</t>
  </si>
  <si>
    <t>https://jneuroengrehab.biomedcentral.com/articles/10.1186/1743-0003-11-32</t>
  </si>
  <si>
    <t>Abstract                            Background               Virtual reality (VR) is not commonly used in clinical rehabilitation, and commercial VR gaming systems may have mixed effects in patients with stroke. Therefore, we developed RehabMaster™, a task-specific interactive game-based VR system for post-stroke rehabilitation of the upper extremities, and assessed its usability and clinical efficacy.                                         Methods               A participatory design and usability tests were carried out for development of RehabMaster with representative user groups. Two clinical trials were then performed. The first was an observational study in which seven patients with chronic stroke received 30 minutes of RehabMaster intervention per day for two weeks. The second was a randomised controlled trial of 16 patients with acute or subacute stroke who received 10 sessions of conventional occupational therapy only (OT-only group) or conventional occupational therapy plus 20 minutes of RehabMaster intervention (RehabMaster + OT group). The Fugl-Meyer Assessment score (FMA), modified Barthel Index (MBI), adverse effects, and drop-out rate were recorded.                                         Results                                The requirements of a VR system for stroke rehabilitation were established and incorporated into RehabMaster. The reported advantages from the usability tests were improved attention, the immersive flow experience, and individualised intervention. The first clinical trial showed that the RehabMaster intervention improved the FMA (                 P                 = .03) and MBI (                 P                 = .04) across evaluation times. The second trial revealed that the addition of RehabMaster intervention tended to enhance the improvement in the FMA (                 P                 = .07) but did not affect the improvement in the MBI. One patient with chronic stroke left the trial, and no adverse effects were reported.                                                        Conclusions               The RehabMaster is a feasible and safe VR system for enhancing upper extremity function in patients with stroke.</t>
  </si>
  <si>
    <t>2014-12</t>
  </si>
  <si>
    <t>A task-specific interactive game-based virtual reality rehabilitation system for patients with stroke</t>
  </si>
  <si>
    <t>/Users/dennis/Zotero/storage/N2ACJNPJ/Shin et al. - 2014 - A task-specific interactive game-based virtual reality rehabilitation system for patients with strok.pdf</t>
  </si>
  <si>
    <t>Q66G5JV7</t>
  </si>
  <si>
    <t>Olsson, Thomas</t>
  </si>
  <si>
    <t>Concepts and Subjective Measures for Evaluating User Experience of Mobile Augmented Reality Services</t>
  </si>
  <si>
    <t>Human Factors in Augmented Reality Environments</t>
  </si>
  <si>
    <t>978-1-4614-4204-2 978-1-4614-4205-9</t>
  </si>
  <si>
    <t>https://link.springer.com/10.1007/978-1-4614-4205-9_9</t>
  </si>
  <si>
    <t>203-232</t>
  </si>
  <si>
    <t>Springer New York</t>
  </si>
  <si>
    <t>New York, NY</t>
  </si>
  <si>
    <t>DOI: 10.1007/978-1-4614-4205-9_9</t>
  </si>
  <si>
    <t>Huang, Weidong; Alem, Leila; Livingston, Mark A.</t>
  </si>
  <si>
    <t>KRFGGSMJ</t>
  </si>
  <si>
    <t>Gielkens, Charley; Wetzel, Richard</t>
  </si>
  <si>
    <t>A Framework for Usability Evaluation of Mobile Mixed Reality Games</t>
  </si>
  <si>
    <t>Proceedings of the 11th International Conference on Entertainment Computing</t>
  </si>
  <si>
    <t>978-3-642-33541-9 978-3-642-33542-6</t>
  </si>
  <si>
    <t>10.1007/978-3-642-33542-6_38</t>
  </si>
  <si>
    <t>http://link.springer.com/10.1007/978-3-642-33542-6_38</t>
  </si>
  <si>
    <t>401-404</t>
  </si>
  <si>
    <t>ICEC'12</t>
  </si>
  <si>
    <t>Springer Berlin Heidelberg</t>
  </si>
  <si>
    <t>Berlin, Heidelberg</t>
  </si>
  <si>
    <t>Series Title: Lecture Notes in Computer Science DOI: 10.1007/978-3-642-33542-6_38</t>
  </si>
  <si>
    <t>/Users/dennis/Zotero/storage/JP3VAKUP/Gielkens und Wetzel - 2012 - A Framework for Usability Evaluation of Mobile Mixed Reality Games.pdf</t>
  </si>
  <si>
    <t>augmented reality; mixed reality; usability evaluation; games</t>
  </si>
  <si>
    <t>Herrlich, Marc; Malaka, Rainer; Masuch, Maic</t>
  </si>
  <si>
    <t>LYM9EC8W</t>
  </si>
  <si>
    <t>Cameirão, Mónica S; Badia, Sergi Bermúdez I; Oller, Esther Duarte; Verschure, Paul Fmj</t>
  </si>
  <si>
    <t>Neurorehabilitation using the virtual reality based Rehabilitation Gaming System: Methodology, design, psychometrics, usability and validation</t>
  </si>
  <si>
    <t>10.1186/1743-0003-7-48</t>
  </si>
  <si>
    <t>https://jneuroengrehab.biomedcentral.com/articles/10.1186/1743-0003-7-48</t>
  </si>
  <si>
    <t>Abstract                            Background               Stroke is a frequent cause of adult disability that can lead to enduring impairments. However, given the life-long plasticity of the brain one could assume that recovery could be facilitated by the harnessing of mechanisms underlying neuronal reorganization. Currently it is not clear how this reorganization can be mobilized. Novel technology based neurorehabilitation techniques hold promise to address this issue. Here we describe a Virtual Reality (VR) based system, the Rehabilitation Gaming System (RGS) that is based on a number of hypotheses on the neuronal mechanisms underlying recovery, the structure of training and the role of individualization. We investigate the psychometrics of the RGS in stroke patients and healthy controls.                                         Methods               We describe the key components of the RGS and the psychometrics of one rehabilitation scenario called Spheroids. We performed trials with 21 acute/subacute stroke patients and 20 healthy controls to study the effect of the training parameters on task performance. This allowed us to develop a Personalized Training Module (PTM) for online adjustment of task difficulty. In addition, we studied task transfer between physical and virtual environments. Finally, we assessed the usability and acceptance of the RGS as a rehabilitation tool.                                         Results               We show that the PTM implemented in RGS allows us to effectively adjust the difficulty and the parameters of the task to the user by capturing specific features of the movements of the arms. The results reported here also show a consistent transfer of movement kinematics between physical and virtual tasks. Moreover, our usability assessment shows that the RGS is highly accepted by stroke patients as a rehabilitation tool.                                         Conclusions               We introduce a novel VR based paradigm for neurorehabilitation, RGS, which combines specific rehabilitative principles with a psychometric evaluation to provide a personalized and automated training. Our results show that the RGS effectively adjusts to the individual features of the user, allowing for an unsupervised deployment of individualized rehabilitation protocols.</t>
  </si>
  <si>
    <t>2010-12</t>
  </si>
  <si>
    <t>J. NeuroEng. Rehabil.</t>
  </si>
  <si>
    <t>Neurorehabilitation using the virtual reality based Rehabilitation Gaming System</t>
  </si>
  <si>
    <t>/Users/dennis/Zotero/storage/B4IQZ99Z/Cameirão et al. - 2010 - Neurorehabilitation using the virtual reality based Rehabilitation Gaming System methodology, desig.pdf</t>
  </si>
  <si>
    <t>Adult; Female; Humans; Male; Middle Aged; human; adult; female; male; article; aged; reproducibility; Reproducibility of Results; algorithm; Algorithms; computer interface; physiology; User-Computer Interface; Aged; middle aged; physiotherapy; computer graphics; Computer Graphics; Physical Therapy Modalities; Psychometrics; psychometry; Software Design; Calibration; calibration; methodology; computer program; Data Interpretation, Statistical; hemiplegia; Hemiplegia; Nervous System Diseases; neurologic disease; psychomotor performance; Psychomotor Performance; recreation; statistical analysis; stroke; Stroke; Video Games</t>
  </si>
  <si>
    <t>CRIE369E</t>
  </si>
  <si>
    <t>Martinez, Diego; Kieffer, Suzanne; Martinez, Jonatan; Molina, Jose P.; Macq, Benoit; Gonzalez, Pascual</t>
  </si>
  <si>
    <t>Usability evaluation of virtual reality interaction techniques for positioning and manoeuvring in reduced, manipulation-oriented environments</t>
  </si>
  <si>
    <t>The Visual Computer</t>
  </si>
  <si>
    <t>0178-2789, 1432-2315</t>
  </si>
  <si>
    <t>10.1007/s00371-010-0499-x</t>
  </si>
  <si>
    <t>http://link.springer.com/10.1007/s00371-010-0499-x</t>
  </si>
  <si>
    <t>2010-06</t>
  </si>
  <si>
    <t>619-628</t>
  </si>
  <si>
    <t>Vis Comput</t>
  </si>
  <si>
    <t>http://www.springer.com/tdm</t>
  </si>
  <si>
    <t>Interaction techniques; Usability evaluation</t>
  </si>
  <si>
    <t>IQA34EIJ</t>
  </si>
  <si>
    <t>Pribeanu, Costin; Balog, Alexandru; Iordache, Dragoş Daniel</t>
  </si>
  <si>
    <t>Measuring the Usability of Augmented Reality e-Learning Systems: A User–Centered Evaluation Approach</t>
  </si>
  <si>
    <t>Software and Data Technologies</t>
  </si>
  <si>
    <t>978-3-642-05200-2 978-3-642-05201-9</t>
  </si>
  <si>
    <t>http://link.springer.com/10.1007/978-3-642-05201-9_14</t>
  </si>
  <si>
    <t>175-186</t>
  </si>
  <si>
    <t>Measuring the Usability of Augmented Reality e-Learning Systems</t>
  </si>
  <si>
    <t>Series Title: Communications in Computer and Information Science DOI: 10.1007/978-3-642-05201-9_14</t>
  </si>
  <si>
    <t>Cordeiro, José; Shishkov, Boris; Ranchordas, AlpeshKumar; Helfert, Markus</t>
  </si>
  <si>
    <t>JM76HF5I</t>
  </si>
  <si>
    <t>Moore, Antoni</t>
  </si>
  <si>
    <t>A Tangible Augmented Reality Interface to Tiled Street Maps and its Usability Testing</t>
  </si>
  <si>
    <t>Progress in Spatial Data Handling</t>
  </si>
  <si>
    <t>978-3-540-35588-5</t>
  </si>
  <si>
    <t>http://link.springer.com/10.1007/3-540-35589-8_33</t>
  </si>
  <si>
    <t>511-528</t>
  </si>
  <si>
    <t>DOI: 10.1007/3-540-35589-8_33</t>
  </si>
  <si>
    <t>Riedl, Andreas; Kainz, Wolfgang; Elmes, Gregory A.</t>
  </si>
  <si>
    <t>JMWVJQ6N</t>
  </si>
  <si>
    <t>Zielinski, K.; Tadeja, S.; Blumberg, B.; Kjærgaard, M.B.</t>
  </si>
  <si>
    <t>Using Mobile AR for Rapid Feasibility Analysis for Deployment of Robots: A Usability Study With Non-Expert Users</t>
  </si>
  <si>
    <t>IEEE Robotics and Automation Letters</t>
  </si>
  <si>
    <t>23773766 (ISSN)</t>
  </si>
  <si>
    <t>10.1109/LRA.2025.3560888</t>
  </si>
  <si>
    <t>https://www.scopus.com/inward/record.uri?eid=2-s2.0-105002790304&amp;doi=10.1109%2fLRA.2025.3560888&amp;partnerID=40&amp;md5=abe00d159d666c7d1c2375eaff3dc66e</t>
  </si>
  <si>
    <t>Automating a production line with robotic arms is a complex, demanding task that requires not only substantial resources but also a deep understanding of the automated processes and available technologies and tools. Expert integrators must consider factors such as placement, payload, and robot reach requirements to determine the feasibility of automation. Ideally, such considerations are based on a detailed digital simulation developed before any hardware is deployed. However, this process is often time-consuming and challenging. To simplify these processes, we introduce a much simpler method for the feasibility analysis of robotic arms' reachability, designed for non-experts. We implement this method through a mobile, sensing-based prototype tool. The two-step experimental evaluation included the expert user study results, which helped us identify the difficulty levels of various deployment scenarios and refine the initial prototype. The results of the subsequent quantitative study with 22 non-expert participants utilizing both scenarios indicate that users could complete both simple and complex feasibility analyses in under ten minutes, exhibiting similar cognitive loads and high engagement. Overall, the results suggest that the tool was well-received and rated as highly usable, thereby showing a new path for changing the ease of feasibility analysis for automation. © 2016 IEEE.</t>
  </si>
  <si>
    <t>IEEE Robot. Autom.</t>
  </si>
  <si>
    <t>English</t>
  </si>
  <si>
    <t>Scopus</t>
  </si>
  <si>
    <t>Publisher: Institute of Electrical and Electronics Engineers Inc.</t>
  </si>
  <si>
    <t>Automated process; building automation; Building automation; Digital simulation; Expert users; Feasibility analysis; Human centered robotics; Human-centered robotics; Nanorobots; Production line; Robotic arms; SIMPLE method; Usability engineering; Usability studies; Virtual environments; virtual reality and interfaces; Virtual reality and interfaces</t>
  </si>
  <si>
    <t>2Z5SPHRX</t>
  </si>
  <si>
    <t>Jambo, C.H.M.; Werneck, V.M.B.; Moreira da Costa, R.M.E.</t>
  </si>
  <si>
    <t>Virtual Reality System Controlled by Embedded Artificial Intelligence for Supporting Phobia Treatment</t>
  </si>
  <si>
    <t>Journal of the Brazilian Computer Society</t>
  </si>
  <si>
    <t>01046500 (ISSN)</t>
  </si>
  <si>
    <t>10.5753/jbcs.2024.4685</t>
  </si>
  <si>
    <t>https://www.scopus.com/inward/record.uri?eid=2-s2.0-85215820330&amp;doi=10.5753%2fjbcs.2024.4685&amp;partnerID=40&amp;md5=caf9b30397a54eca64133bec6e50caf0</t>
  </si>
  <si>
    <t>In recent years, the health area has received technological contributions that provide support for diagnostic practices, monitoring, and treatment of different disorders and diseases, mainly combining various techniques of Artificial Intelligence, Virtual Reality, and Mobile Computing. There are many challenges to integrating these technologies and providing solutions that consider the automation of processes, the simplification of interaction between professionals and patients, the low price of equipment, the individualization of use, mobility, and the use of Artificial Intelligence strategies. Aiming to overcome the limitations of two previous works, which applied technological combinations in the desensitization of stress and phobias, this work aims to develop a technological combination that integrates an autonomous and low-cost virtual environment, with multi-agent control and natural language communication support, to be used in the Treatment by Exposure in Virtual Environments-VRET in the area of Clinical Psychology, more specifically related to Anxiety Disorders. Low-cost virtual reality glasses were used, with visualization on a smartphone. The prototype, called PhobIA 3DS, is controlled by multi-agents that have modules for capturing physiological signals (heart rate); uses natural language to obtain the level of anxiety perceived by the patient; considers these two pieces of information in a Fuzzy system, which, in turn, generates a response on the calculated level of anxiety; and controls and changes the display of specific scenarios for each level of anxiety. Finally, the system was evaluated by a group of 6 experienced psychologists to verify aspects of the interface, relevance, and usability. The data obtained by the evaluation showed positive results and good prospects for using the system in real activities. As a contribution, this work created an integration of AI technologies in an ESP32 microcontroller connected to a smartphone and attached to low-cost goggles. This combination of technics opens perspectives for adopting affordable technologies in phobia treatments. © 2024, Brazilian Computing Society. All rights reserved.</t>
  </si>
  <si>
    <t>569-583</t>
  </si>
  <si>
    <t>J. Braz. Comput. Soc.</t>
  </si>
  <si>
    <t>Publisher: Brazilian Computing Society</t>
  </si>
  <si>
    <t>3-D virtual environment; Diagnosis; Diseases; Fuzzy Logic; Fuzzy-Logic; Low-costs; Mobile-computing; Multi agent; Multi-agent; Patient treatment; Phobia; Smart phones; Technological combination; Virtual reality system; Virtual therapy</t>
  </si>
  <si>
    <t>WYUY9WT9</t>
  </si>
  <si>
    <t>Tabata, M.; Nakai, R.; Kajihara, K.; Nakagawa, H.; Yamasaki, S.; Hayashi, F.; Mokuda, S.</t>
  </si>
  <si>
    <t>Performance evaluation and user experience of BT-50 transportation unit with automated and scheduled quality control measurements</t>
  </si>
  <si>
    <t>Clinical Chemistry and Laboratory Medicine</t>
  </si>
  <si>
    <t>14346621 (ISSN)</t>
  </si>
  <si>
    <t>10.1515/cclm-2024-0220</t>
  </si>
  <si>
    <t>https://www.scopus.com/inward/record.uri?eid=2-s2.0-85193957820&amp;doi=10.1515%2fcclm-2024-0220&amp;partnerID=40&amp;md5=ed1743c9944c9a3a838dff57ce3a6c4b</t>
  </si>
  <si>
    <t>Objectives: Even in the current era of hematology analyzer automation and peripheral equipment, quality control sample measurement remains a manual task, leading to variability in quality control data and increased workload. In this study, we evaluated the performance of quality control measurement using the BT-50 Transportation Unit (BT-50, Sysmex, Kobe, Japan), equipped with a scheduled automatic quality control function, to ensure measurement accuracy and streamline the workflow of hematology testing. Methods: We evaluated the automatic measurement performance of quality control samples using the BT-50 for six representative blood test parameters: WBC (white blood cell), RBC (red blood cell), HGB (hemoglobin), HCT (hematocrit), PLT (platelet), and RET% (reticulocyte percent). We evaluated the equivalence and compared measurement accuracy between the BT-50 and the manual method. We then compared the variability to other laboratories and confirmed the stability of quality control samples. We also evaluated changes in workflow and staff resources before and after the introduction of the BT-50. Results: The quality control measurement results for the BT-50 and the manual method were found to be equivalent for all six parameters. The variability measured by the BT-50 was lower for some parameters compared to the manual method. Furthermore, the workflow was streamlined by reducing manual processes, resulting in increased efficiency. Conclusions: We confirmed the performance of quality control measurements using the schedule function of the BT-50. Introducing the BT-50 reduced the operator's workload, improved operational efficiency, and promoted the standardization of quality control measurements.  © 2024 the author(s), published by De Gruyter, Berlin/Boston.</t>
  </si>
  <si>
    <t>2461-2468</t>
  </si>
  <si>
    <t>Clin. Chem. Lab. Med.</t>
  </si>
  <si>
    <t>Publisher: Walter de Gruyter GmbH</t>
  </si>
  <si>
    <t>Humans; Article; automation; Automation; Automation, Laboratory; blood examination; BT-50; controlled study; erythrocyte count; evaluation study; hematocrit; Hematologic Tests; hematology analyzer; hemoglobin; hemoglobin blood level; human; human cell; laboratory automation; leukocyte count; measurement; measurement accuracy; performance; personal experience; platelet count; procedures; quality control; Quality Control; reticulocyte percentage; standard; standardization; traffic and transport; workflow; workload; XR-Series</t>
  </si>
  <si>
    <t>2NVG8Q25</t>
  </si>
  <si>
    <t>Chen, H.; Zhang, R.; Gao, W.</t>
  </si>
  <si>
    <t>Research on Interior Design Simulation Operating System Based on Virtual Reality</t>
  </si>
  <si>
    <t>IEEE Int. Conf. Networks, Multimed. Inf. Technol., NMITCON</t>
  </si>
  <si>
    <t>979-835037289-2 (ISBN)</t>
  </si>
  <si>
    <t>10.1109/NMITCON62075.2024.10698880</t>
  </si>
  <si>
    <t>https://www.scopus.com/inward/record.uri?eid=2-s2.0-85207403950&amp;doi=10.1109%2fNMITCON62075.2024.10698880&amp;partnerID=40&amp;md5=8da56ac06668d2b619d6cc58a4160b29</t>
  </si>
  <si>
    <t>Objective To study the interior design simulation operating system based on virtual reality technology, which provides an immersive design environment for interior designers, can improve the efficiency and accuracy of design, and also show a more intuitive design results for customers. Methods: Based on the latest rendering technology, collision detection, ray tracing, character management and automatic path finding algorithms, this study proposed a design concept of interior design simulation operating system based on virtual reality technology to achieve realistic, smooth and stable virtual interior design experience. Through a series of experimental tests, the user experience and practicability of the system are verified.The result: The system not only significantly improves the efficiency of home design and display, but also provides consumers with an immersive shopping and design experience.Conclusion: This system can not only promote the communication between designers and consumers, improve the efficiency of display, but also provide innovative ways of customer interaction, indicating a major shift in the future home shopping model. With the further development of technology and the adaptation of the market, such systems are expected to become one of the standard configurations of the home industry in the future. © 2024 IEEE.</t>
  </si>
  <si>
    <t>Institute of Electrical and Electronics Engineers Inc.</t>
  </si>
  <si>
    <t>Journal Abbreviation: IEEE Int. Conf. Networks, Multimed. Inf. Technol., NMITCON</t>
  </si>
  <si>
    <t>virtual reality; Virtual environments; Architectural design; Collision detection; Design environment; Design experience; Design simulations; Digital elevation model; Immersive designs; interior design; Interior designers; Interior designs; Interiors (building); Path-finding algorithms; simulated operating system; Simulated operating system; Virtual reality technology</t>
  </si>
  <si>
    <t>2nd IEEE International Conference on Networks, Multimedia and Information Technology, NMITCON 2024</t>
  </si>
  <si>
    <t>K5GAJHRR</t>
  </si>
  <si>
    <t>Christakis, S.; Makris, N.; Korakis, T.; Fdida, S.</t>
  </si>
  <si>
    <t>On the Automated Scaling of User Plane Function for 5G: An Experimental Evaluation</t>
  </si>
  <si>
    <t>Jt. Eur. Conf. Networks Commun. 6G Summit, EuCNC/6G Summit</t>
  </si>
  <si>
    <t>979-835034499-8 (ISBN)</t>
  </si>
  <si>
    <t>10.1109/EuCNC/6GSummit60053.2024.10597110</t>
  </si>
  <si>
    <t>https://www.scopus.com/inward/record.uri?eid=2-s2.0-85199929065&amp;doi=10.1109%2fEuCNC%2f6GSummit60053.2024.10597110&amp;partnerID=40&amp;md5=eb0806a9788b8adfac91464f8c9d6732</t>
  </si>
  <si>
    <t>The advent of emerging technologies like autonomous vehicles, AR/VR, IoT, smart cities, etc., have raised the bar in terms of dealing with enormous data transfer, high speeds, and low response times. 5G has been designed and is optimized unceasingly to try to meet these demands. The quick evolution of 5G Radio Access Network (RAN) technologies has ushered in a new era of connectivity and communication. This has caused the 5G Core Network to face significant problems, as on many occasions, the RAN's ability to transmit data overwhelms the core network's ability to handle it. As a result, network congestion occurs, leading to reduced network speeds, significant delays, and occasional disruptions, which have a profound effect on low-quality user experience. This issue has triggered the scientific community to investigate ways to enhance the performance of the 5G core network, to match with the evolving demands of RAN technologies. In this work, we present an innovative algorithm for dynamic management and optimization of 5G network resources within a Kubernetes cluster environment. The algorithm's functionality revolves around monitoring metrics of User Plane Function (UPF) and making real-time decisions on deploying multiple UPFs within the cluster to ensure enhanced network performance and cost optimization.  © 2024 IEEE.</t>
  </si>
  <si>
    <t>979-984</t>
  </si>
  <si>
    <t>Journal Abbreviation: Jt. Eur. Conf. Networks Commun. 6G Summit, EuCNC/6G Summit</t>
  </si>
  <si>
    <t>5G mobile communication systems; 5G Network; Clustering algorithms; Core Network; Core networks; Data transfer; Dynamic algorithm; Dynamic Algorithm; Emerging technologies; Experimental evaluation; Kubernetes; Network technologies; Queueing networks; Radio access networks; Scaling; Scalings; UPF; User plane function; User planes</t>
  </si>
  <si>
    <t>2024 Joint European Conference on Networks and Communications and 6G Summit, EuCNC/6G Summit 2024</t>
  </si>
  <si>
    <t>FXUUSAWK</t>
  </si>
  <si>
    <t>Colombo, G.; Minta, K.; Grübel, J.; Tai, W.L.E.; Hölscher, C.; Schinazi, V.R.</t>
  </si>
  <si>
    <t>Detecting cognitive impairment through an age-friendly serious game: The development and usability of the spatial performance assessment for cognitive evaluation (SPACE)</t>
  </si>
  <si>
    <t>Computers in Human Behavior</t>
  </si>
  <si>
    <t>07475632 (ISSN)</t>
  </si>
  <si>
    <t>10.1016/j.chb.2024.108349</t>
  </si>
  <si>
    <t>https://www.scopus.com/inward/record.uri?eid=2-s2.0-85198013886&amp;doi=10.1016%2fj.chb.2024.108349&amp;partnerID=40&amp;md5=7f266a297a7ecf97f388b0b518a57224</t>
  </si>
  <si>
    <t>The Spatial Performance Assessment for Cognitive Evaluation (SPACE) is a novel iPad serious game designed to identify differences in spatial ability indicative of early signs of cognitive impairment. This paper reports on the development of SPACE and presents the results from three usability studies across different ages. Study 1 compared the traditional tap and swipe control interface with a semiautomated interface. Study 2 investigated the benefits of a UI widget that displayed the rotation performed in the Virtual Environment (VE). Study 3 evaluated the effects of a simplified configuration of landmarks explored in the VE. Findings across the studies indicated that age was the primary factor influencing performance. Younger participants consistently outperformed older ones across various tasks and reported higher usability and lower workload. Despite notable performance improvements for the tasks in SPACE, the new control interface, UI widget, and simplified configuration only had a minimal impact on usability. Younger participants rated SPACE above the level of mature products, while older participants found it useable but not always engaging. Critically, the significant interactions between age and experimental conditions indicated that younger and older participants benefited differently from the design modifications. Here, the semi-automated control, the simplified configuration, and, to a lesser extent, the UI widget showed promise in mitigating age-related performance differences while maintaining the level of challenge necessary to assess differences in cognitive status. This research showcases the potential of SPACE as a serious game and emphasises the importance of balancing simplicity with task demands for future unsupervised deployment. © 2024 The Authors</t>
  </si>
  <si>
    <t>Comput. Hum. Behav.</t>
  </si>
  <si>
    <t>Publisher: Elsevier Ltd</t>
  </si>
  <si>
    <t>Usability engineering; Usability studies; Automation; Age-friendly; Ageing; Cognitive impairment; Control interfaces; Digital assessment; Performance; Performance assessment; Serious games; Spatial abilities; Spatial ability; Spatial performance; Usability; Virtual reality</t>
  </si>
  <si>
    <t>UV5ZXN57</t>
  </si>
  <si>
    <t>Li, H.; Fang, S.; Shi, T.; Wales, N.; Skitmore, M.</t>
  </si>
  <si>
    <t>Enhancing stakeholder engagement and performance evaluation in building design using BIM and VR</t>
  </si>
  <si>
    <t>Automation in Construction</t>
  </si>
  <si>
    <t>09265805 (ISSN)</t>
  </si>
  <si>
    <t>10.1016/j.autcon.2025.106191</t>
  </si>
  <si>
    <t>https://www.scopus.com/inward/record.uri?eid=2-s2.0-105002261352&amp;doi=10.1016%2fj.autcon.2025.106191&amp;partnerID=40&amp;md5=6e201686c06e886a380177267de0dbdd</t>
  </si>
  <si>
    <t>“VR + BIM” technologies address the growing complexity of construction evaluation systems driven by digital transformation, as traditional methods struggle to meet diverse stakeholder demands. This paper develops an automated evaluation framework integrating Building Information Modeling (BIM) and Virtual Reality (VR) to enhance decision-making processes and enable immersive multi-stakeholder collaboration and data-driven assessments. To verify system effectiveness, a “green + healthy” building scenario under sustainable construction trends is selected. Analysis based on a cloud model of 18 performance indicators reveals superior performance in user experience indicators such as “light environment”, “spatial privacy” but limitations in resource management indicators like “water conservation” and “source control.” The overall system performance transitions from “average” to “relatively good,” confirming automated assessment feasibility. The research contributes a quantitative methodology for BIM-VR integration, enhancing stakeholder engagement and building performance evaluation, offering micro-level design recommendations and macro-level policy interventions for “green + healthy” buildings, advancing digital, intelligent construction practices. © 2025 Elsevier B.V.</t>
  </si>
  <si>
    <t>Autom Constr</t>
  </si>
  <si>
    <t>Publisher: Elsevier B.V.</t>
  </si>
  <si>
    <t>“green + healthy” building; “Green + Healthy” building; BIM; Building design; Building Information Modelling; Cloud model; Cloud modeling; Healthy buildings; In-buildings; Modeling technology; Performances evaluation; Stakeholder; Stakeholder engagement; VR</t>
  </si>
  <si>
    <t>6K7CJG3S</t>
  </si>
  <si>
    <t>Kvapil Varšová, K.; Juřík, V.</t>
  </si>
  <si>
    <t>Using iVR to deliver optimal psychotherapy experience—current perspectives on VRET for acrophobia</t>
  </si>
  <si>
    <t>Frontiers in Psychology</t>
  </si>
  <si>
    <t>16641078 (ISSN)</t>
  </si>
  <si>
    <t>10.3389/fpsyg.2024.1491622</t>
  </si>
  <si>
    <t>https://www.scopus.com/inward/record.uri?eid=2-s2.0-85212673098&amp;doi=10.3389%2ffpsyg.2024.1491622&amp;partnerID=40&amp;md5=8da09e1d0e527f51d0342a44fcc02e75</t>
  </si>
  <si>
    <t>Immersive Virtual Reality (iVR) presents a promising avenue for treating acrophobia through Virtual Reality Exposure Therapy (VRET). This paper explores the current state of VRET for acrophobia, identifying significant technological and practical barriers that limit its effectiveness and hinder widespread adoption. Key challenges include the need for more advanced and realistic user experiences, and for the integration of biofeedback mechanisms. Additionally, the role of therapists remains crucial, as therapist-led VRET sessions demonstrate better outcomes compared to automated interventions. The potential of Collaborative Immersive Virtual Environments (CIVEs) to enhance VRET by simulating real-life interactions and improving patient-therapist engagement is also discussed. Future research should focus on developing comprehensive guidelines for CIVE design and evaluating integrated VRET and CIVE systems for treating phobias, including acrophobia. Addressing these issues will enhance the therapeutic experience, making VRET a more effective and accessible tool for treating acrophobia. Copyright © 2024 Kvapil Varšová and Juřík.</t>
  </si>
  <si>
    <t>Front. Psychol.</t>
  </si>
  <si>
    <t>Publisher: Frontiers Media SA</t>
  </si>
  <si>
    <t>virtual reality; acrophobia; CBT; CIVE; exposure; iVR; VRET</t>
  </si>
  <si>
    <t>ZHFTJC6Q</t>
  </si>
  <si>
    <t>Wang, C.-H.; Hsiao, C.-Y.; Tai, A.-T.; Wang, M.-J.J.</t>
  </si>
  <si>
    <t>Usability evaluation of augmented reality visualizations on an optical see-through head-mounted display for assisting machine operations</t>
  </si>
  <si>
    <t>Applied Ergonomics</t>
  </si>
  <si>
    <t>00036870 (ISSN)</t>
  </si>
  <si>
    <t>10.1016/j.apergo.2023.104112</t>
  </si>
  <si>
    <t>https://www.scopus.com/inward/record.uri?eid=2-s2.0-85167818028&amp;doi=10.1016%2fj.apergo.2023.104112&amp;partnerID=40&amp;md5=24e750073b25e7cdbdd24f885237a371</t>
  </si>
  <si>
    <t>This study explores the effect of using different visual information overlays and guiding arrows on a machine operation task with an optical see-through head-mounted display (OST-HMD). Thirty-four participants were recruited in the experiment. The independent variables included visual information mode (text, animation, and mixed text and animation) and the use of guiding arrows (with and without arrows). In addition, gender difference was also an objective of this study. The task performance indicators were determined based on task completion time and error counts as well as subjective measures (system usability scale, NASA task load index, and immersion scale). This study used the mixed analysis of variance design to evaluate the main and interaction effects. The results showed that males performed better when using the mixed text and animation mode. Females performed better when using the text mode. In addition, using the mixed text and animation mode demonstrated the best outcome in system usability scale and NASA task load index. For the use of guiding arrows, the task completion time was reduced and the system usability scale, NASA task load index, and immersion scale showed positive effects. © 2023</t>
  </si>
  <si>
    <t>Appl. Ergon.</t>
  </si>
  <si>
    <t>Augmented Reality; Female; Humans; Male; Usability engineering; Article; automation; controlled study; human; adult; analysis of variance; Animation; augmented reality; Augmented reality; error count; experimental error; female; Helmet mounted displays; human experiment; immersion; Independent variables; Information modes; Load index; machine operation; Machine operation; male; NASA; normal human; Optical see-through head-mounted display; Optical see-through head-mounted displays; performance indicator; Reality visualization; sex difference; Smart Glasses; System usability; task completion time; Task completion time; task performance; time; Usability evaluation; usability testing; visual information; Visual information; young adult</t>
  </si>
  <si>
    <t>K8CPT86N</t>
  </si>
  <si>
    <t>Mancuso, V.; Arlati, S.; Saritas, S.N.; Borghesi, F.; Di Santo, S.G.; Cavallo, M.; Pedroli, E.</t>
  </si>
  <si>
    <t>Usability Study of a Virtual Reality-Based Ecological Battery for Memory Assessment: A Pilot Study</t>
  </si>
  <si>
    <t>IEEE Int. Conf. Metrol. Ext. Real., Artif. Intell. Neural Eng., MetroXRAINE - Proc.</t>
  </si>
  <si>
    <t>979-835037800-9 (ISBN)</t>
  </si>
  <si>
    <t>10.1109/MetroXRAINE62247.2024.10797097</t>
  </si>
  <si>
    <t>https://www.scopus.com/inward/record.uri?eid=2-s2.0-85216086575&amp;doi=10.1109%2fMetroXRAINE62247.2024.10797097&amp;partnerID=40&amp;md5=55ac4d6b71937a0874be6751e8fc9d05</t>
  </si>
  <si>
    <t>The reliability and validity of conventional neuropsychological assessments have been called into question because they have a narrow ecological perspective. Traditional paper and pencil approaches frequently fail to accurately simulate real-world situations, which can result in possible misunderstandings of cognitive abilities. Virtual Reality and 360° videos offer potential remedies to these restrictions by offering immersive, lifelike environments for cognitive evaluations. The objective of this study is to assess the usability of the ecological and automated memory battery (V-MEB) which incorporates 360° movies and head-mounted displays. Eight participants were subjected to one memory tasks in a virtual city setting. Their feedback on usability was gathered using the System Usability Scale, Senior Technology Acceptance Model, Thinking Aloud Protocol, and the Independent Television Commission Sense of Presence Inventory (ITC-SOPI). The quantitative data demonstrated a high score for usability, however the qualitative data from TAP identified particular usability difficulties pertaining to interface design and interaction style. It is crucial to address these difficulties in order to enhance the user experience and effectiveness of cognitive evaluations that rely on virtual reality technology.  © 2024 IEEE.</t>
  </si>
  <si>
    <t>1050-1054</t>
  </si>
  <si>
    <t>Journal Abbreviation: IEEE Int. Conf. Metrol. Ext. Real., Artif. Intell. Neural Eng., MetroXRAINE - Proc.</t>
  </si>
  <si>
    <t>usability; virtual reality; Usability engineering; Usability studies; Virtual environments; Usability; Virtual reality; Helmet mounted displays; Cognitive ability; Computer Human Interaction; computer-human interaction; Immersive; memory assessment; Memory assessment; Neuropsychological assessment; Pilot studies; Real world situations; Reliability and validity; Virtual addresses; Virtualization</t>
  </si>
  <si>
    <t>2024 IEEE International Conference on Metrology for eXtended Reality, Artificial Intelligence and Neural Engineering, MetroXRAINE 2024 - Proceedings</t>
  </si>
  <si>
    <t>RUNDTWHE</t>
  </si>
  <si>
    <t>Xu, H.; Shao, Y.; Chen, J.; Wang, C.; Berres, A.</t>
  </si>
  <si>
    <t>Semi-Automatic Geographic Information System Framework for Creating Photo-Realistic Digital Twin Cities to Support Autonomous Driving Research</t>
  </si>
  <si>
    <t>Transportation Research Record</t>
  </si>
  <si>
    <t>03611981 (ISSN)</t>
  </si>
  <si>
    <t>10.1177/03611981231205884</t>
  </si>
  <si>
    <t>https://www.scopus.com/inward/record.uri?eid=2-s2.0-85177057362&amp;doi=10.1177%2f03611981231205884&amp;partnerID=40&amp;md5=892d77adfbc0155b58b837e8a9eb58ce</t>
  </si>
  <si>
    <t>Digital twin cities are frequently used in vehicle and traffic simulations to render realistic on-road driving scenarios under various traffic and environmental conditions. These digital twins provide a high-fidelity replica of the physical world (e.g., buildings, roads, infrastructures, traffic) to create three-dimensional (3D) virtual-physical environments to support various emerging vehicle and transportation technologies such as connected and automated vehicles. These virtual environments provide a cost-effective digital proving ground to evaluate, validate, and test emerging technologies that include control algorithms, localization, perception, and sensors. Replicating a real-world traffic scenario in a digital twin using a traditional 3D modeling approach is a time-consuming and labor-intensive effort. This paper presents a semi-automated spatial framework to construct realistic 3D digital twin cities to support autonomous driving research using readily available geographic information system (GIS) data and 3D prefabricated (prefab) models. We start with a comprehensive review of geospatial data sources of essential digital entities required in a 3D digital twin city and present an integrated GIS-3D modeling pipeline using customized QGIS/GDAL and Blender scripting in Python. The pipeline outputs are realistic 3D digital twin cities compatible with common vehicle simulation software, such as CARLA and IPG CarMaker. The paper closes with a showcase to demonstrate the quality and usability of a digital twin city created to replicate the Shallowford Road corridor in Chattanooga in both Unity and Unreal engine-based virtual environment. The generated digital twin city can be applied to a hardware-in-the-loop simulation environment with an actual testing vehicle to facilitate autonomous driving research. © National Academy of Sciences: Transportation Research Board 2023.</t>
  </si>
  <si>
    <t>1068-1084</t>
  </si>
  <si>
    <t>Transp Res Rec</t>
  </si>
  <si>
    <t>Publisher: SAGE Publications Ltd</t>
  </si>
  <si>
    <t>Automation; Virtual reality; 3D modeling; 3D models; 3d-modeling; Autonomous driving; Blending; Computer software; Cost effectiveness; data and data science; Data and data science; Data visualization; Geo-spatial data visualizations; Geographic information systems; geospatial data visualization; Information systems; Information use; interactive visualization; Interactive visualizations; Pipelines; Roads and streets; Semi-automatics; System framework; Three dimensional computer graphics; Vehicle simulation; Visualization; visualization in transportation; Visualization in transportation</t>
  </si>
  <si>
    <t>TA6EFMNQ</t>
  </si>
  <si>
    <t>Kim, R.Y.; Cai, J.; Chandran, S.; Liu, J.; Peng, A.; Miller, S.R.</t>
  </si>
  <si>
    <t>EXPLORING THE USE OF IMMERSIVE VR FOR HUMAN-ROBOT COLLABORATION IN CONSTRUCTION: AN INTERVIEW STUDY WITH INDUSTRY EXPERTS AND UNIVERSITY FACULTY</t>
  </si>
  <si>
    <t>Proc. ASME Des. Eng. Tech. Conf.</t>
  </si>
  <si>
    <t>978-079188834-6 (ISBN)</t>
  </si>
  <si>
    <t>10.1115/DETC2024-146368</t>
  </si>
  <si>
    <t>https://www.scopus.com/inward/record.uri?eid=2-s2.0-85210496219&amp;doi=10.1115%2fDETC2024-146368&amp;partnerID=40&amp;md5=55f2ce0f2134e54d374cba5c8d9281c8</t>
  </si>
  <si>
    <t>The construction industry is increasing its adaptation of automation technologies such as robots to improve productivity and efficiency. However, human-robot collaboration requires new skills and knowledge from both workers and engineers. However, training for these new skills might be difficult due to the high-risk nature of construction environments, the complexity of the tasks involved, and the need for precise and safe coordination between humans and robots. This research proposes an immersive virtual reality-based learning environment that provides a safe and engaging space for learning and practicing human-robot collaboration skills. The learning environment aims to simulate realistic construction site scenarios where human-robot teams collaborate. The research explores the effectiveness of the virtual learning environment in terms of learning outcomes, usability, and user satisfaction. To do so, eight interviews were conducted with industry experts and university faculty. The results of the interviews showed that there is a significant potential for the immersive virtual reality-based learning environment to improve workers' skills, increase their confidence, and promote collaboration in the construction industry. Experts emphasized the importance of realistic simulations that closely mimic actual construction scenarios to enhance the learning experience. The interview results were then used to develop a medium-fidelity prototype. Usability testing of the prototype with undergraduate Construction Engineering and Management (CEM) students revealed that the students found the virtual environment engaging and beneficial for understanding the dynamics of human-robot collaboration. They reported an increased awareness of safety protocols and improved their ability to anticipate and coordinate with robot actions. However, some students noted challenges with the interface, suggesting areas for improvement in the system's intuitiveness and user guidance. The findings of this research have implications for the development of immersive virtual reality-based learning environments and can contribute to the improvement of human-robot collaboration in the construction industry. Further, the technology's immediate advantages, such as enhancing the safety and effectiveness of human-robot collaboration in construction, make it an important tool for companies in this sector trying to streamline their procedures and develop their staff. This research suggests that immersive VR training can be a valuable component of a broader strategy to integrate automation technologies into the construction industry, ensuring that workers are equipped with the necessary skills and confidence to work effectively alongside robots. © 2024 by ASME.</t>
  </si>
  <si>
    <t>2A-2024</t>
  </si>
  <si>
    <t>American Society of Mechanical Engineers (ASME)</t>
  </si>
  <si>
    <t>Journal Abbreviation: Proc. ASME Des. Eng. Tech. Conf.</t>
  </si>
  <si>
    <t>Virtual Reality; Automation technology; Curricula; Design for manufacturability; Design optimization; Design Optimization; Design validation; Design Validation; Education; Educational robots; Human robot interaction; Human-robot collaboration; Immersive virtual reality; Immersive VR; Industrial robots; Industry experts; Interview study; Learning environments; Personnel training; Product development; Product Development; Robot learning; Structural dynamics; Students; Teaching; Workers'</t>
  </si>
  <si>
    <t>Proceedings of the ASME Design Engineering Technical Conference</t>
  </si>
  <si>
    <t>B5WSWMHU</t>
  </si>
  <si>
    <t>Gazzelloni, A.; Calandrella, C.; Piga, S.; D’Elpidio, G.; Alvaro, R.</t>
  </si>
  <si>
    <t>Virtual Reality Basic Life Support and Defibrillation (BLSD) Guided Scenario: A Pilot Study</t>
  </si>
  <si>
    <t>Lect. Notes Networks Syst.</t>
  </si>
  <si>
    <t>23673370 (ISSN); 978-303185560-3 (ISBN)</t>
  </si>
  <si>
    <t>10.1007/978-3-031-85561-0_9</t>
  </si>
  <si>
    <t>https://www.scopus.com/inward/record.uri?eid=2-s2.0-105003181161&amp;doi=10.1007%2f978-3-031-85561-0_9&amp;partnerID=40&amp;md5=01daaa9d0a1e895705dcff6795e01915</t>
  </si>
  <si>
    <t>Cardiac arrest is a major global health problem. The early recognition of the Cardiac Arrest and initiation of cardiopulmonary resuscitation (CPR), as well as early automated external defibrillation are related to improvements in outcomes for patients with OHCA. Many new technologies for teaching CPR have become available in recent years, in particular, virtual reality (VR). Immersive technologies provide users with an engaging and enjoyable learning platform to train skills to proficiency without risking patient safety. Such technologies can be a powerful tool that increases public awareness and learning of life-saving skills, primarily due to the high level of immersivity, perceptual access to real-time scenarios, and impersonation. This study was a pilot trial to test a virtual reality BLSD scenario, incorporated with a half-body training mannequin for CPR practice in order to approximate the virtual experience to that of a traditional real BLSD course. The scenario created consists of an adult victim in cardiac arrest (unconscious, not breathing, no pulse, and required defibrillation), in an out-of-hospital context. A convenience sample of third-year nursing students and nurses (graduated less than one year) were involved. This pilot study found that the virtual reality BLSD scenario, incorporated with a life-size mannequin, was acceptable, and usability and level of presence experienced by participants were good. However, additional steps are required to complete the development of the virtual scenario. © The Author(s), under exclusive license to Springer Nature Switzerland AG 2025.</t>
  </si>
  <si>
    <t>101-112</t>
  </si>
  <si>
    <t>1308 LNNS</t>
  </si>
  <si>
    <t>Springer Science and Business Media Deutschland GmbH</t>
  </si>
  <si>
    <t>Journal Abbreviation: Lect. Notes Networks Syst.</t>
  </si>
  <si>
    <t>Virtual Reality; Virtual environments; Pilot studies; Curricula; Personnel training; Teaching; Basic life supports; Bioinformatics; Cardiac arrest; Cardiopulmonary resuscitation; Cardiopulmonary Resuscitation; Global health; Immersive technologies; Learning platform; Nursing Training; Nursing trainings; Patient safety; Resuscitation; Technology for teachings</t>
  </si>
  <si>
    <t>Kubincová Z.; Durães D.; SánchezGómez M.C.; Novais P.; Lancia L.; Pellegrino M.A.</t>
  </si>
  <si>
    <t>Lecture Notes in Networks and Systems</t>
  </si>
  <si>
    <t>L7EA2V7U</t>
  </si>
  <si>
    <t>Yang, X.; Wang, Y.; Rafi, T.; Liu, D.; Wang, X.; Zhang, X.</t>
  </si>
  <si>
    <t>Towards Automatic Oracle Prediction for AR Testing: Assessing Virtual Object Placement Quality under Real-World Scenes</t>
  </si>
  <si>
    <t>ISSTA - Proc. ACM SIGSOFT Int. Symp. Softw. Test. Anal.</t>
  </si>
  <si>
    <t>979-840070612-7 (ISBN)</t>
  </si>
  <si>
    <t>10.1145/3650212.3680315</t>
  </si>
  <si>
    <t>https://www.scopus.com/inward/record.uri?eid=2-s2.0-85205570537&amp;doi=10.1145%2f3650212.3680315&amp;partnerID=40&amp;md5=7e235eb4b5a8b344fd4d7cea73ad0566</t>
  </si>
  <si>
    <t>Augmented Reality (AR) technology opens up exciting possibilities in various fields, such as education, work guidance, shopping, communication, and gaming. However, users often encounter usability and user experience issues in current AR apps, often due to the imprecise placement of virtual objects. Detecting these inaccuracies is crucial for AR app testing, but automating the process is challenging due to its reliance on human perception and validation. This paper introduces VOPA (Virtual Object Placement Assessment), a novel approach that automatically identifies imprecise virtual object placements in real-world AR apps. VOPA involves instrumenting real-world AR apps to collect screenshots representing various object placement scenarios and their corresponding metadata under real-world scenes. The collected data are then labeled through crowdsourcing and used to train a hybrid neural network that identifies object placement errors. VOPA aims to enhance AR app testing by automating the assessment of virtual object placement quality and detecting imprecise instances. In our evaluation of a test set of 304 screenshots, VOPA achieved an accuracy of 99.34%, precision of 96.92% and recall of 100%. Furthermore, VOPA successfully identified 38 real-world object placement errors, including instances where objects were hovering between two surfaces or appearing embedded in the wall.  © 2024 Owner/Author.</t>
  </si>
  <si>
    <t>717-729</t>
  </si>
  <si>
    <t>Association for Computing Machinery, Inc</t>
  </si>
  <si>
    <t>Journal Abbreviation: ISSTA - Proc. ACM SIGSOFT Int. Symp. Softw. Test. Anal.</t>
  </si>
  <si>
    <t>Augmented Reality; Virtual environments; Virtual reality; Augmented reality; Users' experiences; Augmented reality technology; Automated test; Automated test oracle; Automated Test Oracle; Crowdsourcing; Machine Learning; Machine-learning; Object placement; Real-world; Screenshots; Test oracles; Virtual objects</t>
  </si>
  <si>
    <t>Christakis M.; Pradel M.</t>
  </si>
  <si>
    <t>ISSTA 2024 - Proceedings of the 33rd ACM SIGSOFT International Symposium on Software Testing and Analysis</t>
  </si>
  <si>
    <t>9R9JTICT</t>
  </si>
  <si>
    <t>Hwan Kim, S.; Jin, J.; Sevinchan, M.; Davies, A.</t>
  </si>
  <si>
    <t>How do automated reasoning features impact the usability of a clinical task management system? Development and usability testing of a prototype</t>
  </si>
  <si>
    <t>International Journal of Medical Informatics</t>
  </si>
  <si>
    <t>13865056 (ISSN)</t>
  </si>
  <si>
    <t>10.1016/j.ijmedinf.2023.105067</t>
  </si>
  <si>
    <t>https://www.scopus.com/inward/record.uri?eid=2-s2.0-85152628274&amp;doi=10.1016%2fj.ijmedinf.2023.105067&amp;partnerID=40&amp;md5=988df16025d87b1be032f43a90d4729e</t>
  </si>
  <si>
    <t>Background: Electronic clinical task management systems (ECTMSs) have been developed and adopted by care providers to improve care coordination. Some systems utilised automated reasoning (AR) to enable more intelligent task management functionalities, such as automated task allocation. Yet, the impact of such features on usability remains unclear. Poor usability of health information systems has been described to cause frustration and contribute to patient safety incidents. Aim: To design AR features for an ECTMS and to evaluate their impact on usability. Methods: In this mixed methods study, four ECTMS feature prototypes were co-designed with two clinicians. For each prototype, one AR variant and one non-AR variant with equivalent functionalities were developed. A moderated usability testing was conducted with seven clinicians to obtain ease-of-use ratings of prototypes and measure task durations. Parameters related to demographics and attitudes of participants were obtained via a questionnaire. A framework analysis was performed to summarise qualitative feedback. To determine statistical relationships of study variables, Spearmańs rank coefficients were calculated and presented as a correlation matrix. Results: Three out of four prototypes received higher median ease-of-use ratings for AR variants and were associated with shorter average task durations. Multiple clinical use cases suitable for AR were identified. Preference for AR was found to moderately correlate with digital proficiency and prior experience with ECTMSs. Insufficient trust in automation, alert fatigue, and system customisation were identified as challenges in the adoption of AR features. Conclusions: This study provides evidence for the potential of AR to enhance usability in ECTMSs. Consideration of psychological and organisational context of users in the feature design was found to be decisive for usability. Future research should explore implications for operational and clinical outcomes. © 2023 The Author(s)</t>
  </si>
  <si>
    <t>Int. J. Med. Informatics</t>
  </si>
  <si>
    <t>Publisher: Elsevier Ireland Ltd</t>
  </si>
  <si>
    <t>usability; Humans; Usability engineering; automation; Automation; human; Usability; adult; usability testing; Users' experiences; article; outcome assessment; demographics; questionnaire; User experience; User-Computer Interface; Usability testing; Clinical research; user-centered design; adoption; alert fatigue (health care); automated reasoning; Automated reasoning; clinical outcome; Clinical tasks; drug safety; Ease-of-use; frustration; Knowledge representation; Knowledge-representation; medical information system; Ontologies; ontology; Ontology's; patient safety; Task management; Task management system; trust; User-Centered Design</t>
  </si>
  <si>
    <t>FAR4TZC4</t>
  </si>
  <si>
    <t>Doungtap, S.; Wang, J.-H.; Phanichraksaphong, V.</t>
  </si>
  <si>
    <t>Comparative Analysis of SAAS Model and NPC Integration for Enhancing VR Shopping Experiences</t>
  </si>
  <si>
    <t>Applied Sciences (Switzerland)</t>
  </si>
  <si>
    <t>20763417 (ISSN)</t>
  </si>
  <si>
    <t>10.3390/app14156573</t>
  </si>
  <si>
    <t>https://www.scopus.com/inward/record.uri?eid=2-s2.0-85200926375&amp;doi=10.3390%2fapp14156573&amp;partnerID=40&amp;md5=7ec0d66e46494826fc05eaeb349dfbd9</t>
  </si>
  <si>
    <t>This article examines the incorporation of the Shopping Assistance Automatic Suggestion (SAAS) model into Virtual Reality (VR) environments in order to improve the online shopping experience. The SAAS model employs sophisticated deep learning methods to offer customized product recommendations, which are conveyed by non-player characters (NPCs) via voice-based interactions. Our goal is to develop an interactive shopping experience that replicates real-life interactions by integrating AI-powered recommendations with immersive VR technology. We gather and standardize data from several open commerce databases, such as Amazon Product and Customer Reviews. The SAAS model, in conjunction with GPT-3, BERT, and T5, undergoes training and testing to evaluate its effectiveness across multiple criteria. The results demonstrate that the SAAS model surpasses other models in delivering contextually aware and pertinent recommendations. The integration process outlines the specific steps involved in capturing, processing, and transforming user interactions in virtual reality (VR) into vocal suggestions provided by non-player characters (NPCs). This strategy improves customization and utilizes the immersive features of virtual reality to effectively engage people. The results of our research establish a higher standard for e-commerce, with the goal of enhancing the user experience of online purchasing by making it more instinctive, engaging, and pleasurable. © 2024 by the authors.</t>
  </si>
  <si>
    <t>Appl. Sci.</t>
  </si>
  <si>
    <t>Publisher: Multidisciplinary Digital Publishing Institute (MDPI)</t>
  </si>
  <si>
    <t>virtual reality; Virtual reality; Comparative analyzes; Customized products; data mining; Data mining; deep learning; Deep learning; digital twins; E- commerces; e-commerce; E-learning; Electronic commerce; Learning methods; Learning systems; Non-player character; Online shopping; Product recommendation; Shopping assistance; Virtual-reality environment</t>
  </si>
  <si>
    <t>NMC8ETZG</t>
  </si>
  <si>
    <t>Swain, R.; Kaye, S.-A.; Rakotonirainy, A.</t>
  </si>
  <si>
    <t>Shared intention and shared awareness for conditional automated driving: An online, randomized video experiment</t>
  </si>
  <si>
    <t>Traffic Injury Prevention</t>
  </si>
  <si>
    <t>15389588 (ISSN)</t>
  </si>
  <si>
    <t>10.1080/15389588.2024.2421215</t>
  </si>
  <si>
    <t>https://www.scopus.com/inward/record.uri?eid=2-s2.0-85211601322&amp;doi=10.1080%2f15389588.2024.2421215&amp;partnerID=40&amp;md5=79031416e5ecdf5f6c8ad9df1f374d51</t>
  </si>
  <si>
    <t>Objectives: In conditional automation for automated vehicles (AVs), drivers are tasked with remaining vigilant and ready to assume control should the system encounter a malfunction. However, little to no information is provided to the driver either about the AV’s intended maneuvers or the AV’s awareness of potential threats in the surrounding environment. To address this research gap, the present study proposes 2 human–machine interaction (HMI) concepts: Firstly, the shared intended pathway (SIP), which presents a forecast of the AV’s intended maneuvers and, secondly, object recognition bounding boxes (ORBBs), which place transparent blue squares around other road users likely to contribute to a crash. Methods: An online experiment with both within- and between-group factors tested 2 HMI designs: One with both SIP and ORBB and one with SIP only. Six videos were presented sequentially, each depicting 10 to 15 s of automated driving, to 394 participants (Mage = 28.24 years, 64% male) in Australia. Participants monitored the AV in each of the videos, which were presented in 1 of 3 randomized conditions: no HMI display, SIP only, or SIP + ORBB. Questions after each video measured trust, situational awareness, stress, and user acceptance, as measured by the technology acceptance model (TAM) about user acceptance. Results: Results suggest that SIP is beneficial in conditional automation monitoring, in terms of reduced stress, increased perceived usefulness, and future intentions to use AVs. Further, ORBB presence increased participant ratings of perceived usefulness and intentions to use AVs compared to no ORBB. The findings also provided support for the TAM, because perceived ease of use and perceived usefulness were found to be significant positive predictors of future intentions to use AVs. Conclusions: The current study provides some evidence to suggest that SIP may be beneficial in automated driving. However, further on-road testing of HMI displays for AVs that include SIP and ORBBs are needed to enhance the user experience and acceptability of AVs and to provide more ecological validity. © 2024 The Author(s). Published with license by Taylor &amp; Francis Group, LLC.</t>
  </si>
  <si>
    <t>Traffic Inj. Prev.</t>
  </si>
  <si>
    <t>Publisher: Taylor and Francis Ltd.</t>
  </si>
  <si>
    <t>automation; controlled study; human; adult; augmented reality; female; male; Acceptance tests; article; Automated driving; automated vehicle; Automated vehicles; Automobile testing; awareness; Bounding-box; Cobotic; cobotics; continuous ventilator; cooperative HMI; Cooperative human–machine interaction; Driver licensing; ecological validity; Explainable AI; explainable artificial intelligence; Highway accidents; Human machine interaction; Intention to use; Objects recognition; Perceived usefulness; videorecording</t>
  </si>
  <si>
    <t>Y448ZEY3</t>
  </si>
  <si>
    <t>McLaughlin, D.E.; Savatovsky, E.J.; O'Brien, R.C.; Vanner, E.A.; Munshi, H.K.; Pham, A.H.; Grajewski, A.L.</t>
  </si>
  <si>
    <t>Reliability of Visual Field Testing in a Telehealth Setting Using a Head-Mounted Device: A Pilot Study</t>
  </si>
  <si>
    <t>Journal of Glaucoma</t>
  </si>
  <si>
    <t>10570829 (ISSN)</t>
  </si>
  <si>
    <t>10.1097/IJG.0000000000002290</t>
  </si>
  <si>
    <t>https://www.scopus.com/inward/record.uri?eid=2-s2.0-85180270053&amp;doi=10.1097%2fIJG.0000000000002290&amp;partnerID=40&amp;md5=2c81de5a7a0bc0ee8f3c91cf0b26ecbc</t>
  </si>
  <si>
    <t>Précis: Monitoring visual fields (VFs) through virtual reality devices proved to have good inter-test and test-retest reliability, as well as easy usability, when self-administered by individuals with and without VF defects in a remote setting. Purpose: To assess the reliability of remote, self-administered VF monitoring using a virtual reality VF (VRVF) device in individuals without ocular disease and with stable VF defects. Materials and Methods: Individuals without ocular disease and with stable defects were recruited. All participants had a baseline standard automated perimetry (SAP) test. Participants tested remotely on a VRVF device for 4 weeks (examinations V1, V2, V3, and V4), with the last 3 unassisted. The mean sensitivities of VRVF results were compared with each other and to SAP results for reliability. Results: A total of 42 eyes from 21 participants were tested on the VRVF device. Participants tested consistently although external factors impacted outcomes. VRVF results were in reasonable agreement with the baseline SAP. Examinations performed by the cohort with stable defects evinced better agreement with SAP examinations (V2, P = 0.79; V3, P = 0.39; V4, P = 0.35) than those reported by the cohort without ocular disease (V2, P = 0.02; V3, P = 0.15; V4, P = 0.22), where the null hypothesis is that the instruments agree. Fixation losses were high and variable in VRVF examinations compared with those of SAP, particularly in certain test takers. Participants considered the device comfortable and easy to use. Conclusions: Self-administered, remote VF tests on a VRVF device showed satisfactory test-retest reliability, good inter-test agreement with SAP, and acceptability by its users. External factors may impact at-home testing and age and visual impairment may hinder fixation. Future studies to expand the sample size and understand inconsistencies in fixation losses are recommended. © 2024 Lippincott Williams and Wilkins. All rights reserved.</t>
  </si>
  <si>
    <t>15-23</t>
  </si>
  <si>
    <t>J. Glaucoma</t>
  </si>
  <si>
    <t>Publisher: Lippincott Williams and Wilkins</t>
  </si>
  <si>
    <t>virtual reality; Humans; Article; controlled study; human; procedures; adult; female; male; adolescent; aged; best corrected visual acuity; central corneal thickness; clinical article; cohort analysis; contrast sensitivity; eye disease; eye examination; eye movement; eye tracking; glaucoma; gonioscopy; intraocular pressure; Intraocular Pressure; low vision; ophthalmoscopy; outcome assessment; perimetry; Pilot Projects; pilot study; Prospective Studies; prospective study; refraction error; reliability; reproducibility; Reproducibility of Results; slit lamp microscopy; telehealth; telemedicine; Telemedicine; test retest reliability; Vision Disorders; Vision, Low; visual acuity; visual disorder; visual field; Visual Field Tests; visual fields; Visual Fields</t>
  </si>
  <si>
    <t>2STWWZ9C</t>
  </si>
  <si>
    <t>Tobisková, N.; Gull, E.S.; Janardhanan, S.; Pederson, T.; Malmsköld, L.</t>
  </si>
  <si>
    <t>Augmented Reality for AI-driven Inspection? - A Comparative Usability Study</t>
  </si>
  <si>
    <t>Procedia CIRP</t>
  </si>
  <si>
    <t>22128271 (ISSN)</t>
  </si>
  <si>
    <t>10.1016/j.procir.2023.03.122</t>
  </si>
  <si>
    <t>https://www.scopus.com/inward/record.uri?eid=2-s2.0-85169900193&amp;doi=10.1016%2fj.procir.2023.03.122&amp;partnerID=40&amp;md5=e49c2f49da9a62267ffda584279fd426</t>
  </si>
  <si>
    <t>Inspection in Aerospace industry can, as well as many other industrial applications, benefit from using Augmented Reality (AR) due to its ability to superimpose helpful digital information in 3D, leading to fewer errors and decreased mental demand. However, each AR device has advantages and disadvantages, and not all AR devices are suitable for use in industrial settings. We compare a tripod-fitted-adjustable-arm tablet-based AR solution (Apple iPad Pro) to head-mounted AR (Microsoft HoloLens 2) and a traditional, computer screen-based human-machine interface (HMI), all three designed to guide operators based on previously performed AI-based image analysis. Following an iterative design process with three formative evaluations, a final field test in a real industrial shop floor engaging 6 professional inspectors revealed an overall preference for the tripod-fitted iPad variant which receiving the best scores in most dimensions covered in both a usability-focused SUS questionnaire (score 71) and a NASA-RTLX form focused on perceived workload. More specifically, the tripod-fitted iPad was considered more usable (SUS) than the classic computer display HMI (M=5.83, SD=4.92, p=0.034, N=6); the temporal demand (NASA-RTLX) was considered lower using the iPad compared to both HoloLens 2 and the HMI (M=6.67, SD=4.08, p=0.010; M=10.83, SD=9.70, p=0.040, N=6), respectively. © 2023 The Authors. Published by Elsevier B.V. This is an open access article under the CC BY-NC-ND license (https://creativecommons.org/licenses/by-nc-nd/4.0)</t>
  </si>
  <si>
    <t>734-739</t>
  </si>
  <si>
    <t>Elsevier B.V.</t>
  </si>
  <si>
    <t>Journal Abbreviation: Procedia CIRP</t>
  </si>
  <si>
    <t>Augmented Reality; Usability studies; Augmented reality; NASA; Usability evaluation; Human Machine Interface; Usability Evaluation; Human computer interaction; Aerospace; Aerospace industry; Automated visual inspection; Automated Visual Inspection; Collaborative automation; Collaborative Automation; Digital information; Hand held computers; Human-Computer Interaction; Industrial settings; Inspection; MicroSoft; Traditional computers</t>
  </si>
  <si>
    <t>Liu A.; Kara S.</t>
  </si>
  <si>
    <t>2YBQ3G4X</t>
  </si>
  <si>
    <t>Ip, W.K.; Soar, J.; James, C.; Wang, Z.; Fong, K.N.K.</t>
  </si>
  <si>
    <t>Innovative Virtual Reality (VR) Application for Preventing of Falls among Chinese Older Adults: A Usability and Acceptance Exploratory Study</t>
  </si>
  <si>
    <t>Human Behavior and Emerging Technologies</t>
  </si>
  <si>
    <t>25781863 (ISSN)</t>
  </si>
  <si>
    <t>10.1155/2024/5556767</t>
  </si>
  <si>
    <t>https://www.scopus.com/inward/record.uri?eid=2-s2.0-85189466190&amp;doi=10.1155%2f2024%2f5556767&amp;partnerID=40&amp;md5=082c062093d24b5ab9c5aef7fdf23082</t>
  </si>
  <si>
    <t>Objective. Full immersive virtual reality (VR) technology shows potential for reducing the risks of falls in older adults. There is yet little evidence to support the usability and acceptance on using VR technology application in community aged care service. The study reports on research that aims to address that gap by evaluating the usefulness and acceptance of using an innovative VR application among Chinese older adults from Hong Kong. Methods. A single-arm exploratory study was conducted to evaluate how the participants experienced the use of a fully immersive cave automatic virtual environment (CAVE) VR program on fall prevention. Thirty-one participants were recruited by convenience sampling based on their fall concerns and potential risk of falls. The participants completed 16 training sessions over eight weeks using the VR CAVE application. They were asked to complete a VR usability questionnaire (HK-version) based on the Technology Acceptance Model and previous research, and they took fall risk assessments at the pretest, posttest, and follow-up. Results. The participants' group significantly showed improvements in reducing the risk factors of falls including balance, functional mobility, walking speed, and fear of falling after VR intervention. Perceived usefulness (PU), perceived enjoyment (PE), user experience (UE), and intention to use (IU) had an overall significant change at different time points. These are important factors to influence the participants' acceptance of the use of VR technology applications. Perceived ease of use (PEOU) and social norms (SNs) had an inconsistent result, and some items had low validity. The findings indicated a positive training effect on fall prevention and high acceptance of the adoption of the VR technology application. Conclusion. This study supports the growing evidence on the usefulness and acceptance of using full immersive VR training on fall prevention among Chinese older adults. They perceived that the VR CAVE application was useful and innovative as an effective fall prevention training. Technically, the application of VR CAVE technology faces many challenges and is not easily manageable under COVID-19 restrictions and the limitation on technological adaptation for older adults. However, investment in full immersive VR technology application is supported for future adoption in aged care and rehabilitation services.  © 2024 Wing Keung Ip et al.</t>
  </si>
  <si>
    <t>Hum. Behav. Emerg. Technol.</t>
  </si>
  <si>
    <t>Publisher: Wiley-Hindawi</t>
  </si>
  <si>
    <t>IQN8MSH8</t>
  </si>
  <si>
    <t>Woo, J.; Shidara, K.; Achard, C.; Tanaka, H.; Nakamura, S.; Pelachaud, C.</t>
  </si>
  <si>
    <t>Adaptive virtual agent: Design and evaluation for real-time human-agent interaction</t>
  </si>
  <si>
    <t>International Journal of Human Computer Studies</t>
  </si>
  <si>
    <t>10715819 (ISSN)</t>
  </si>
  <si>
    <t>10.1016/j.ijhcs.2024.103321</t>
  </si>
  <si>
    <t>https://www.scopus.com/inward/record.uri?eid=2-s2.0-85197034932&amp;doi=10.1016%2fj.ijhcs.2024.103321&amp;partnerID=40&amp;md5=10e63a327555aae02d722d96d074f25d</t>
  </si>
  <si>
    <t>When we converse, we adapt our behaviors to our interlocutors. The adaptation can serve to indicate our engagement which can also elicit enhancement of the involvement of others. Virtual agents (or socially interactive virtual agents) that play the role of interaction partners can improve the human users’ interaction experience by displaying continuous and adaptive behaviors in real time. Virtual agents have been used in multiple domains to improve user interaction and performance. The promising results of the endowment of adaptation to agents in increasing the agents’ perception and user experience were shown in previous studies. In this paper, we develop an adaptive virtual agent that renders real-time adaptive behaviors based on the behaviors shown by its human interlocutor. The ASAP model rendering reciprocally adaptive agent behavior was employed to realize the system. The system consists of four main parts: perception of social signals, agent adaptive behavior generation, agent visualization (i.e. rendering of the agent's verbal and nonverbal behavior), and communication of signals. To showcase the usefulness of our adaptive agent, as a proof-of-concept we choose the e-health application of cognitive behavior therapy (CBT), which identifies and rectifies biased and irrational thoughts (or automatic thoughts). Through this study, we show the importance of giving the agent reciprocal adaptation capability notably in enhancing the user experience and the effectiveness of the CBT session. We validate the importance of endowing such adaptation capability by studying the difference between agents that are reciprocally adaptive, solely expressive (with mismatched behavior), and inexpressive (in a still posture) via questionnaires and measures related to the agent perception (naturalness, human-likeliness, synchrony, and engagement) for user experience and the CBT effectiveness (mood, anxiety, stress, and cognitive change). These results highlight the value of making virtual agents adapt in real time. This could lead to agents being capable of providing more personalized and interactive experiences for a wide range of applications. Also, we have collected a new human-agent interaction (HAI) database, HAI-CBT database, which is publicly available to the research community. © 2024 The Authors</t>
  </si>
  <si>
    <t>Int J Hum Comput Stud</t>
  </si>
  <si>
    <t>Publisher: Academic Press</t>
  </si>
  <si>
    <t>Virtual reality; Users' experiences; Adaptation; Adaptive behaviour; Behavioral research; Cognitive behavior therapy; Cognitive-behavior therapies; Facial expressions; Facial Expressions; Human-agent interaction; Interactive agents; Real- time; Rendering (computer graphics); Socially interactive agent; Socially interactive agent (SIA); Virtual agent</t>
  </si>
  <si>
    <t>5EQEXLYT</t>
  </si>
  <si>
    <t>Zou, L.; Liang, T.</t>
  </si>
  <si>
    <t>Algorithm Optimization of Computer Simulation Vehicle Driving Simulation System Based on Virtual Reality Technology</t>
  </si>
  <si>
    <t>International Journal of Computational Intelligence Systems</t>
  </si>
  <si>
    <t>18756891 (ISSN)</t>
  </si>
  <si>
    <t>10.1007/s44196-024-00426-7</t>
  </si>
  <si>
    <t>https://www.scopus.com/inward/record.uri?eid=2-s2.0-85185398111&amp;doi=10.1007%2fs44196-024-00426-7&amp;partnerID=40&amp;md5=6d9eea32a36972e57c0e047455f2bd1b</t>
  </si>
  <si>
    <t>The traditional automobile driving simulation system has the problems of low calculation efficiency and lack of realism. The traditional automobile driving simulation system with low computational efficiency and lack of realism limits the learning effect. Through virtual reality technology, vehicle driving can be simulated. By optimizing the algorithm of simulating vehicle driving simulation system, the preference of testers for driving style is investigated and the driver's preference style is determined. Finally, through the automatic driving simulation test method based on genetic algorithm, the key scenes can be divided into 11 different types, and the Euclidean distance of these 11 types is analyzed. Most drivers prefer a more conservative autonomous driving style. When analyzing 11 key scenario types, the Euclidean distance between scenario 2 and scenario 3 is the smallest, which is 33 m, and the maximum Euclidean distance between scenario 6 and scenario 11 is 91 m. The difference between scene 2 and scene 3 is the smallest, while the difference between scene 6 and scene 11 is the largest, and there are differences between each scene. Through virtual reality technology and algorithm optimization, the performance and user experience of driving simulation system are improved. © The Author(s) 2024.</t>
  </si>
  <si>
    <t>Int. J. Comput. Intell. Syst.</t>
  </si>
  <si>
    <t>Publisher: Springer Science and Business Media B.V.</t>
  </si>
  <si>
    <t>Virtual reality technology; Virtual reality; Autonomous driving; User interfaces; Algorithms optimizations; Automobile drivers; Automobile driving; Autonomous vehicles; Calculation efficiency; Computational efficiency; Computer simulation; Driving simulation system; Driving styles; Euclidean distance; Genetic algorithms; Questionnaire survey; Questionnaire surveys; Vehicle driving simulation system; Virtual Reality Technology</t>
  </si>
  <si>
    <t>PNXVCYA8</t>
  </si>
  <si>
    <t>Valladares-Poncela, A.; Fraga-Lamas, P.; Fernández-Caramés, T.M.</t>
  </si>
  <si>
    <t>On-Device Automatic Speech Recognition for IIoT and Extended Reality Industrial Metaverse Applications †</t>
  </si>
  <si>
    <t>Engineering Proceedings</t>
  </si>
  <si>
    <t>26734591 (ISSN)</t>
  </si>
  <si>
    <t>10.3390/ecsa-11-20466</t>
  </si>
  <si>
    <t>https://www.scopus.com/inward/record.uri?eid=2-s2.0-105000132975&amp;doi=10.3390%2fecsa-11-20466&amp;partnerID=40&amp;md5=43cc42f5af2b328aa46be087f0ab7f7c</t>
  </si>
  <si>
    <t>This paper presents a comprehensive study on enhancing Industrial Internet of Things (IIoT) and Industrial Metaverse applications through the integration of On-Device Automatic Speech Recognition (ASR) using Microsoft HoloLens 2 smart glasses. Specifically, this paper focuses on the utilization of the HoloLens 2 microphone array and sound capture APIs to benchmark the performance and accuracy of on-device ASR models. The evaluation of these models includes metrics such as Character Error Rate (CER), Word Error Rate (WER) and latency. In addition, this paper explores various optimization techniques, including quantization tools and model refinement strategies, aimed at minimizing latency while maintaining high accuracy. This study also emphasizes the importance of supporting low-resource languages, using Galician—a language spoken by less than 3 million people worldwide—as a case study. By benchmarking different variations of a Wav2Vec2.0-based ASR model fine-tuned for Galician, the most effective models are identified, as well as their optimal runtime configurations. This work underscores the critical role of low-latency on-device ASR systems in real-time IIoT and Industrial Metaverse applications, highlighting how these technologies can enhance operational efficiency, privacy and user experience in industrial environments. The findings demonstrate the significant potential of the on-device ASR system developed to enhance voice interactions in emerging Metaverse applications, specially for low-resource languages. © 2024 by the authors.</t>
  </si>
  <si>
    <t>Eng. Proc.</t>
  </si>
  <si>
    <t>ASR; Automatic Speech Recognition; Extended Reality; IIoT; Industrial Metaverse; Internet of Things; Microsoft HoloLens 2</t>
  </si>
  <si>
    <t>V8ZK523V</t>
  </si>
  <si>
    <t>Pedroza-Santiago, E.A.; Quiroz-Ibarra, J.E.; Bojorges-Valdez, E.R.; Padilla-Castañeda, M.Á.</t>
  </si>
  <si>
    <t>Comparison of Manual, Automatic, and Voice Control in Wheelchair Navigation Simulation in Virtual Environments: Performance Evaluation of User and Motion Sickness</t>
  </si>
  <si>
    <t>Sensors</t>
  </si>
  <si>
    <t>14248220 (ISSN)</t>
  </si>
  <si>
    <t>10.3390/s25020530</t>
  </si>
  <si>
    <t>https://www.scopus.com/inward/record.uri?eid=2-s2.0-85215820359&amp;doi=10.3390%2fs25020530&amp;partnerID=40&amp;md5=6f84178ff33d844d1480413180fa3f7d</t>
  </si>
  <si>
    <t>Mobility is essential for individuals with physical disabilities, and wheelchairs significantly enhance their quality of life. Recent advancements focus on developing sophisticated control systems for effective and efficient interaction. This study evaluates the usability and performance of three wheelchair control modes manual, automatic, and voice controlled using a virtual reality (VR) simulation tool. VR provides a controlled and repeatable environment to assess navigation performance and motion sickness across three scenarios: supermarket, museum, and city. Twenty participants completed nine tests each, resulting in 180 trials. Findings revealed significant differences in navigation efficiency, distance, and collision rates across control modes and scenarios. Automatic control consistently achieved faster navigation times and fewer collisions, particularly in the supermarket. Manual control offered precision but required greater user effort. Voice control, while intuitive, resulted in longer distances traveled and higher collision rates in complex scenarios like the city. Motion sickness levels varied across scenarios, with higher discomfort reported in the city during voice and automatic control. Participant feedback, gathered via a Likert scale questionnaire, highlighted the potential of VR simulation for evaluating user comfort and performance. This research underscores the advantages of VR-based testing for rapid prototyping and user-centered design, offering valuable insights into improving wheelchair control systems. Future work will explore adaptive algorithms to enhance usability and accessibility in real world applications. © 2025 by the authors.</t>
  </si>
  <si>
    <t>virtual reality; Virtual Reality; Adult; Female; Humans; Male; Usability engineering; Virtual environments; human; adult; female; male; young adult; Immersive environment; Adaptive algorithms; Adaptive control systems; algorithm; Algorithms; comparative study; computer interface; Control modes; Daily life scenario; daily life scenarios; Daily lives; disabled person; Disease control; immersive environments; motion sickness; Motion sickness; Motion Sickness; navigation performance; Navigation performance; navigation systems; pathophysiology; Persons with Disabilities; physiology; prevention and control; Rapid prototyping; Risk management; User centered design; User-Computer Interface; voice; Voice; voice control; Voice control; wheelchair; Wheelchair control; Wheelchair user interface; wheelchair user interfaces; Wheelchair users; Wheelchairs; Young Adult</t>
  </si>
  <si>
    <t>M9HMZEIZ</t>
  </si>
  <si>
    <t>Minor, S.; Ketoma, V.K.; Meixner, G.</t>
  </si>
  <si>
    <t>Test automation for augmented reality applications: a development process model and case study</t>
  </si>
  <si>
    <t>i-com</t>
  </si>
  <si>
    <t>1618162X (ISSN)</t>
  </si>
  <si>
    <t>10.1515/ICOM-2023-0029</t>
  </si>
  <si>
    <t>https://www.scopus.com/inward/record.uri?eid=2-s2.0-85176434725&amp;doi=10.1515%2fICOM-2023-0029&amp;partnerID=40&amp;md5=23164a9dbc897b264b781b20c7267648</t>
  </si>
  <si>
    <t>Poor software quality results in avoidable costs of trillion dollars annually in the United States alone. Augmented Reality (AR) applications are a relatively new software category. Currently there are no standards to guide the development process and testing is predominantly ad hoc and manual. Consequently, design guidelines and software test automation techniques are intended to remedy the situation. Here, we present a concept for test automation of AR applications. The concept consists of two parts: design guidelines and process model for testing AR applications, and a case study with a prototype application for test automation. The design guidelines and the process model are based on the state-of-the-art. The prototype application presented in this article demonstrates test automation for a multi-platform AR application for Android devices as well as the HoloLens 2. The presented test automation case study is designed to cover a large part of the functions, such as the different interaction variants. This research work shows that by using the proposed process model and test automation techniques, testing of some features of AR applications can be automated. The results of this research can serve as a basis for future research and contribution towards AR application development standardization efforts. © 2023 the author(s), published by De Gruyter.</t>
  </si>
  <si>
    <t>175-192</t>
  </si>
  <si>
    <t>Publisher: De Gruyter Oldenbourg</t>
  </si>
  <si>
    <t>usability; Automation; Usability; augmented reality; Augmented reality; user experience; Users' experiences; Software prototyping; Application programs; Augmented reality applications; Automation techniques; Case-studies; Computer software selection and evaluation; Design; Design guideline; design guidelines; Development processes models; Modelling studies; Process-models; Software testing; test automation; Test Automation</t>
  </si>
  <si>
    <t>5C7YBFSK</t>
  </si>
  <si>
    <t>Öney, S.; Pathmanathan, N.; Becher, M.; Sedlmair, M.; Weiskopf, D.; Kurzhals, K.</t>
  </si>
  <si>
    <t>Visual Gaze Labeling for Augmented Reality Studies</t>
  </si>
  <si>
    <t>Computer Graphics Forum</t>
  </si>
  <si>
    <t>01677055 (ISSN)</t>
  </si>
  <si>
    <t>10.1111/cgf.14837</t>
  </si>
  <si>
    <t>https://www.scopus.com/inward/record.uri?eid=2-s2.0-85163775541&amp;doi=10.1111%2fcgf.14837&amp;partnerID=40&amp;md5=6f5fd40bbe4a27770fe53921e0352365</t>
  </si>
  <si>
    <t>Augmented Reality (AR) provides new ways for situated visualization and human-computer interaction in physical environments. Current evaluation procedures for AR applications rely primarily on questionnaires and interviews, providing qualitative means to assess usability and task solution strategies. Eye tracking extends these existing evaluation methodologies by providing indicators for visual attention to virtual and real elements in the environment. However, the analysis of viewing behavior, especially the comparison of multiple participants, is difficult to achieve in AR. Specifically, the definition of areas of interest (AOIs), which is often a prerequisite for such analysis, is cumbersome and tedious with existing approaches. To address this issue, we present a new visualization approach to define AOIs, label fixations, and investigate the resulting annotated scanpaths. Our approach utilizes automatic annotation of gaze on virtual objects and an image-based approach that also considers spatial context for the manual annotation of objects in the real world. Our results show, that with our approach, eye tracking data from AR scenes can be annotated and analyzed flexibly with respect to data aspects and annotation strategies. © 2023 The Authors. Computer Graphics Forum published by Eurographics - The European Association for Computer Graphics and John Wiley &amp; Sons Ltd.</t>
  </si>
  <si>
    <t>373-384</t>
  </si>
  <si>
    <t>Comput Graphics Forum</t>
  </si>
  <si>
    <t>Publisher: John Wiley and Sons Inc</t>
  </si>
  <si>
    <t>Augmented reality; Visualization; 'current; Labelings; Behavioral research; Augmented reality applications; Eye-tracking; Human computer interaction; • human-centered computing → visualization; • Human-centered computing → Visualization; Area of interest; CCS concept; CCS Concepts; Eye tracking; Human-centered computing; Physical environments; Solution strategy</t>
  </si>
  <si>
    <t>QZ8WL9M8</t>
  </si>
  <si>
    <t>Torres, W.; Santos, L.; Melo, G.; Oliveira, A.; Nascimento, P.; Carvalho, G.; Neves, T.; Martins, A.; Araújo, Í.</t>
  </si>
  <si>
    <t>A Framework for Real-Time Gestural Recognition and Augmented Reality for Industrial Applications</t>
  </si>
  <si>
    <t>10.3390/s24082407</t>
  </si>
  <si>
    <t>https://www.scopus.com/inward/record.uri?eid=2-s2.0-85191460513&amp;doi=10.3390%2fs24082407&amp;partnerID=40&amp;md5=c8c61e97e2764722eedae35db848a198</t>
  </si>
  <si>
    <t>In recent decades, technological advancements have transformed the industry, highlighting the efficiency of automation and safety. The integration of augmented reality (AR) and gesture recognition has emerged as an innovative approach to create interactive environments for industrial equipment. Gesture recognition enhances AR applications by allowing intuitive interactions. This study presents a web-based architecture for the integration of AR and gesture recognition, designed to interact with industrial equipment. Emphasizing hardware-agnostic compatibility, the proposed structure offers an intuitive interaction with equipment control systems through natural gestures. Experimental validation, conducted using Google Glass, demonstrated the practical viability and potential of this approach in industrial operations. The development focused on optimizing the system’s software and implementing techniques such as normalization, clamping, conversion, and filtering to achieve accurate and reliable gesture recognition under different usage conditions. The proposed approach promotes safer and more efficient industrial operations, contributing to research in AR and gesture recognition. Future work will include improving the gesture recognition accuracy, exploring alternative gestures, and expanding the platform integration to improve the user experience. © 2024 by the authors.</t>
  </si>
  <si>
    <t>Web applications; Augmented Reality; Humans; human; procedures; augmented reality; Augmented reality; Real- time; User-Computer Interface; A-frame; A-Frame; Accident prevention; automated pattern recognition; gesture; gesture recognition; Gesture recognition; Gestures; Gestures recognition; Industrial equipment; Industrial operations; Industrial research; industry; Industry; Innovative approaches; Integration; Intuitive interaction; Pattern Recognition, Automated; software; Software; Technological advancement; web application; WEB application</t>
  </si>
  <si>
    <t>Y54564B4</t>
  </si>
  <si>
    <t>Chu, C.-H.; Pan, J.-K.; Chen, Y.-W.</t>
  </si>
  <si>
    <t>Ergonomic workplace design based on real-time integration between virtual and augmented realities</t>
  </si>
  <si>
    <t>Robotics and Computer-Integrated Manufacturing</t>
  </si>
  <si>
    <t>07365845 (ISSN)</t>
  </si>
  <si>
    <t>10.1016/j.rcim.2024.102859</t>
  </si>
  <si>
    <t>https://www.scopus.com/inward/record.uri?eid=2-s2.0-85202733859&amp;doi=10.1016%2fj.rcim.2024.102859&amp;partnerID=40&amp;md5=31670c8d3402b4a2445c622bcc977f89</t>
  </si>
  <si>
    <t>Virtual Reality (VR) and Augmented Reality (AR) technologies have been separately applied to enhance a wide range of design and manufacturing operations across various industries. Most VR applications are primarily focused on product prototyping and personnel training, whereas AR is commonly used to facilitate manual operations in manufacturing such as assembly and maintenance tasks. This study proposes a novel concept of real-time integration between VR and AR scenes to leverage their individual advantages. A prototyping system is implemented based on this concept to enhance workplace ergonomics in the overhead assembly of car bodies. An operator undergoes the assembly training at a virtual workstation within VR, while an ergonomics expert evaluates the operator's actions from a third-person viewpoint using AR. The expert can iteratively adjust the workstation setup, supported by automatic human posture recognition and biomechanical analysis, to reduce the risk of musculoskeletal injuries during the process. An exemplary case demonstrates the practical value of real-time collaborative applications between VR and AR in the context of human-centric smart manufacturing. A usability study is conducted to verify the prototyping system using both subjective and objective measures. Integrating various reality technologies serves as an effective approach to improving human well-being in the manufacturing environment. © 2024</t>
  </si>
  <si>
    <t>Rob Comput Integr Manuf</t>
  </si>
  <si>
    <t>Virtual environments; Virtual reality; Augmented reality; Augmented reality technology; Prototyping systems; Smart manufacturing; Design operations; Ergonomic evaluation; Ergonomic workplace; Ergonomics; Human Posture; Human postures; Manual assembly; Real time integration; Virtual and augmented reality; Workplace design</t>
  </si>
  <si>
    <t>CV8MERTV</t>
  </si>
  <si>
    <t>Giatzoglou, E.; Vorias, P.; Kemm, R.; Karayianni, I.; Nega, C.; Kourtesis, P.</t>
  </si>
  <si>
    <t>The Trail Making Test in Virtual Reality (TMT-VR): The Effects of Interaction Modes and Gaming Skills on Cognitive Performance of Young Adults</t>
  </si>
  <si>
    <t>10.3390/app142110010</t>
  </si>
  <si>
    <t>https://www.scopus.com/inward/record.uri?eid=2-s2.0-85208507185&amp;doi=10.3390%2fapp142110010&amp;partnerID=40&amp;md5=463daa234a9bd279fe17068a63502c80</t>
  </si>
  <si>
    <t>Featured Application: The Trail Making Test in Virtual Reality (TMT-VR) provides a highly adaptable and immersive tool for cognitive and neuropsychological assessments. Its application extends beyond traditional clinical settings, offering potential use in remote assessments, telemedicine, and longitudinal studies that require repeated measures. The fully automated, randomized, and naturalistic environment of the TMT-VR ensures precise and consistent evaluation across diverse populations, making it particularly useful for assessing cognitive functions in older adults, individuals with neurological conditions, and populations with limited technological exposure. Additionally, the TMT-VR could serve as a valuable tool in cognitive rehabilitation programs, where immersive and engaging tasks are crucial for patient motivation and adherence. However, validation studies are required for scrutinizing its utility in older adults, clinical populations, and settings. Virtual Reality (VR) is increasingly used in neuropsychological assessments due to its ability to simulate real-world environments. This study aimed to develop and evaluate the Trail Making Test in VR (TMT-VR) and investigate the effects of different interaction modes and gaming skills on cognitive performance. A total of 71 young female and male adults (aged 18–35) with high and low gaming skills participated in this study. Participants completed the TMT-VR using three interaction modes as follows: eye-tracking, head movement, and controller. Performance metrics included task completion time and accuracy. User experience, usability, and acceptability of TMT-VR were also examined. Results showed that both eye tracking and head movement modes significantly outperformed the controller in terms of task completion time and accuracy. No significant differences were found between eye tracking and head movement modes. Gaming skills did not significantly influence task performance using any interaction mode. The TMT-VR demonstrates high usability, acceptability, and user experience among participants. The findings suggest that VR-based assessments can effectively measure cognitive performance without being influenced by prior gaming skills, indicating potential applicability for diverse populations. © 2024 by the authors.</t>
  </si>
  <si>
    <t>usability; Virtual Reality; Usability engineering; Virtual environments; Usability; Virtual reality; Virtualization; user experience; Users' experiences; Computer interaction; acceptability; Acceptability; Clinical research; cognitive assessment; Cognitive assessments; Eye controlled devices; Eye movements; eye-tracking; Eye-tracking; Functional assessment; Gaming skill; gaming skills; head movement; Head movements; Human engineering; human–computer interaction; Interaction modes; Neurons; Trail Making Test; Trail making tests</t>
  </si>
  <si>
    <t>ELKW49HF</t>
  </si>
  <si>
    <t>Khairtdinov, M.; Tasliarmut, F.; Koch, C.</t>
  </si>
  <si>
    <t>Concept and Implementation of BIM-to-World Co-registration for Mixed Reality Applications</t>
  </si>
  <si>
    <t>Lect. Notes Civ. Eng.</t>
  </si>
  <si>
    <t>23662557 (ISSN); 978-303132514-4 (ISBN)</t>
  </si>
  <si>
    <t>10.1007/978-3-031-32515-1_19</t>
  </si>
  <si>
    <t>https://www.scopus.com/inward/record.uri?eid=2-s2.0-85171530585&amp;doi=10.1007%2f978-3-031-32515-1_19&amp;partnerID=40&amp;md5=2359085b3ac92ff1b9f79c9873d9f814</t>
  </si>
  <si>
    <t>Mixed reality tools have witnessed a surge in meaningful applications within the construction industry. A critical prerequisite for these tools is the proper alignment or co-registration of the real world with the virtual and digital content, a process referred to as co-registration at the beginning, and tracking during users’ movement. Notably, the majority of showcased use cases focus primarily on superimposing innovative virtual design content onto tablets (AR) and see-through devices (MR) that have already been accurately registered and aligned, without providing insights into the registration process. Although most of the available MR devices perform well in tracking the device’s position and orientation during user movement, the co-registration procedure is usually manual, tedious, and constitutes a significant shortcoming in the overall user experience and MR tool adoption. This paper presents a distributed client-server concept for a co-registration process for MR devices. The server process is bifurcated into a semi-automated rough registration part that uses minimal user input, and a fully automated fine registration part employing the Iterative Closest Point algorithm. The client part runs the projection, visualization, and tracking process utilizing the initial co-registration data. The presented concept is implemented and tested on the Microsoft HoloLens as the MR-client and a software server that runs a dedicated Python script. Experiments and results demonstrate that the presented concept and implementation effectively support the co-registration process with minimal user input, offering reasonable accuracy and latency, even when the corresponding part of the real world has not been captured previously. © 2023, The Author(s), under exclusive license to Springer Nature Switzerland AG.</t>
  </si>
  <si>
    <t>269-280</t>
  </si>
  <si>
    <t>358 LNCE</t>
  </si>
  <si>
    <t>Journal Abbreviation: Lect. Notes Civ. Eng.</t>
  </si>
  <si>
    <t>Automation; Architectural design; Building Information Modelling; Augmented reality; Data visualization; Real-world; Mixed reality; Software testing; Iterative methods; Building information modeling; Co-registration; Construction industry; Coregistration; Digital contents; Hololens; HoloLens; MR devices; Registration process; User input; User movement</t>
  </si>
  <si>
    <t>Skatulla S.; Beushausen H.</t>
  </si>
  <si>
    <t>Lecture Notes in Civil Engineering</t>
  </si>
  <si>
    <t>WUYLTUQP</t>
  </si>
  <si>
    <t>Hunko, I.; Muliarevych, O.; Trishchuk, R.; Zybin, S.; Halachev, P.</t>
  </si>
  <si>
    <t>THE ROLE OF VIRTUAL REALITY IN IMPROVING SOFTWARE TESTING METHODS AND TOOLS</t>
  </si>
  <si>
    <t>Journal of Theoretical and Applied Information Technology</t>
  </si>
  <si>
    <t>19928645 (ISSN)</t>
  </si>
  <si>
    <t>https://www.scopus.com/inward/record.uri?eid=2-s2.0-85205525178&amp;partnerID=40&amp;md5=19c8d0d2f2698f4ddbe94c4515baa02b</t>
  </si>
  <si>
    <t>This report focused on the utilisation of VR in software testing methods and tools, highlighting its impact on immersive test environments, three-dimensional analysis, collaboration and remote testing, as well as automation and optimisation. Testing sites are based on VR solutions that turn virtual reality environment where testers can easily identify bugs and usability issues. Three-dimensional representations offer a look at the multiple functions of software and its interactive nature in virtual space; they also help in improving accuracy and diagnosis of test results. As the collaboration and remote testing can be carried out in VR suitable settings, it helps to overcome space barriers, ensuring seamless communication and team work between testers and developers. Compared with the traditional test processes, automation and optimisation in VR-based testing systemise the workloads, save labour and allocate the resources efficiently, therefore, improve the testing outcomes in quality and quantity. The paper carried out the advantages and difficulties that came with application of VR technology in software testing and later suggesting methods that could be employed when adopting VR-based testing methods. It not only shows different study areas where improvement of the software testing is possible but also helps to develop these areas by inspiring creativity, innovation and progress. Knowledge dissemination and conceptualisation strategies were proposed in the paper, and calls for collaboration as the approaches for bridging the knowledge gap and enabling a deeper appreciation of the VR-powered software testing potential. In the end, the main goal of this article was to provide stakeholders in software sphere with data about the ways a virtual reality technology can help to retrain the process of testing software, also to encourage organisations to find other ways for improving quality and user experience. By strategically incorporating VR technology, organisations can optimise their testing procedures to enhance the development of high-quality software products, ultimately strengthening their position in the rapidly evolving technological landscape. © Little Lion Scientific.</t>
  </si>
  <si>
    <t>4723-4734</t>
  </si>
  <si>
    <t>J. Theor. Appl. Inf. Technol.</t>
  </si>
  <si>
    <t>Publisher: Little Lion Scientific</t>
  </si>
  <si>
    <t>Debugging; Manual Testing; Testing Software Programs; VR Simulation; VR Technology</t>
  </si>
  <si>
    <t>G7YQTFPW</t>
  </si>
  <si>
    <t>Riesener, M.; Schukat, E.; Curiel-Ramirez, L.A.; Schäfer, N.; Valdez-Heras, A.</t>
  </si>
  <si>
    <t>Development of a VR-Based Digital Factory Planning Platform for Dynamic 3D Layout Editing</t>
  </si>
  <si>
    <t>IFAC-PapersOnLine</t>
  </si>
  <si>
    <t>24058971 (ISSN)</t>
  </si>
  <si>
    <t>10.1016/j.procir.2024.10.109</t>
  </si>
  <si>
    <t>https://www.scopus.com/inward/record.uri?eid=2-s2.0-85213051227&amp;doi=10.1016%2fj.procir.2024.10.109&amp;partnerID=40&amp;md5=27d32e2d595ac9a81a0492057f62bdb7</t>
  </si>
  <si>
    <t>Factory planning plays a critical role in the optimization of manufacturing processes. Recent technological advances, especially in Virtual Reality, offer potential to enhance planning efficiency and to meet evolving planning standards and requirements. Current challenges persist due to technological gaps in virtual environments for factory planning. These challenges encompass mismatches between digital models and actual systems, difficulties in managing dynamic layout edition, scalable factory designs, real-time simulations, and more. This study addresses these challenges by introducing the VR-based Digital Factory Planning Platform, which utilizes Unreal Engine for rendering, VR support, and programming interfaces. The Digital Factory Planning Platform features three key functionalities: dynamic 3D layout editing, a data exchange connection for mathematical optimization solutions, and VR visualization of scalable layouts. We validate these functionalities through two case studies. The platform evaluation process with factory planning experts encompasses usability, accuracy, and practicality metrics, providing insights into the impact on factory planning processes. Using VR and Unreal Engine capabilities in developing the Digital Factory Planning Platform supports improved decision-making and resource utilization in manufacturing. This research contributes to the industrial application of virtual environments, particularly the use of VR for factory planning, thereby paving the way for enhanced planning of manufacturing processes. The Digital Factory Planning Platform aims to enhance planning efficiency by aligning VR technology with industry needs and addressing the specific challenges in factory planning tasks. © 2024 The Authors.</t>
  </si>
  <si>
    <t>419-426</t>
  </si>
  <si>
    <t>Issue: 27 Journal Abbreviation: IFAC-PapersOnLine</t>
  </si>
  <si>
    <t>Virtual Reality; Virtual environments; Virtual addresses; Smart manufacturing; 3D layouts; Automated Layout Design; Automated layout designs; Digital factories; Factory planning; Factory Planning; Manufacturing digitalization; Manufacturing Digitalization; Manufacturing process; Optimisations; Planning optimization; Planning Optimization; Plant layout; Technological advances; Unreal engine; Unreal Engine; Virtual machine</t>
  </si>
  <si>
    <t>Pepe P.; Breda D.; Vermiglio R.</t>
  </si>
  <si>
    <t>MCTKRM2J</t>
  </si>
  <si>
    <t>Yogev-Seligmann, G.; Josman, N.; Bitterman, N.; Rosenblum, S.; Naaman, S.; Gilboa, Y.</t>
  </si>
  <si>
    <t>The development of a home-based technology to improve gait in people with Parkinson's disease: a feasibility study</t>
  </si>
  <si>
    <t>BioMedical Engineering Online</t>
  </si>
  <si>
    <t>1475925X (ISSN)</t>
  </si>
  <si>
    <t>10.1186/s12938-023-01066-2</t>
  </si>
  <si>
    <t>https://www.scopus.com/inward/record.uri?eid=2-s2.0-85146580426&amp;doi=10.1186%2fs12938-023-01066-2&amp;partnerID=40&amp;md5=4f9fbf5aacd2cb81ffe0383142eafc89</t>
  </si>
  <si>
    <t>Background: People with Parkinson’s disease (PwP) may experience gait impairment and freezing of gait (FOG), a major cause of falls. External cueing, including visual (e.g., spaced lines on the floor) and auditory (e.g., rhythmic metronome beats) stimuli, are considered effective in alleviating mobility deficits and FOG. Currently, there is a need for a technology that delivers automatic, individually adjusted cues in the homes of PwP. The aims of this feasibility study were to describe the first step toward the development of a home-based technology that delivers external cues, test its effect on gait, and assess user experience. Methods: Iterative system development was performed by our multidisciplinary team. The system was designed to deliver visual and auditory cues: light stripes projected on the floor and metronome beats, separately. Initial testing was performed using the feedback of five healthy elderly individuals on the cues’ clarity (clear visibility of the light stripes and the sound of metronome beats) and discomfort experienced. A pilot study was subsequently conducted in the homes of 15 PwP with daily FOG. We measured participants' walking under three conditions: baseline (with no cues), walking with light stripes, and walking to metronome beats. Outcome measures included step length and step time. User experience was also captured in semi-structured interviews. Results: Repeated-measures ANOVA of gait assessment in PwP revealed that light stripes significantly improved step length (p = 0.009) and step time (p = 0.019) of PwP. No significant changes were measured in the metronome condition. PwP reported that both cueing modalities improved their gait, confidence, and stability. Most PwP did not report any discomfort in either modality and expressed a desire to have such a technology in their homes. The metronome was preferred by the majority of participants. Conclusions: This feasibility study demonstrated the usability and potential effect of a novel cueing technology on gait, and represents an important first step toward the development of a technology aimed to prevent FOG by delivering individually adjusted cues automatically. A further full-scale study is needed. Trial registration This study was registered in ClinicalTrials.gov at 1/2/2022 NCT05211687. © 2023, The Author(s).</t>
  </si>
  <si>
    <t>Biomed. Eng. Online</t>
  </si>
  <si>
    <t>Publisher: BioMed Central Ltd</t>
  </si>
  <si>
    <t>usability; virtual reality; Humans; Article; Automation; controlled study; human; adult; analysis of variance; female; male; aged; outcome assessment; Pilot Projects; pilot study; demographics; questionnaire; education; Aged; aging; ankle brachial index; auditory stimulation; Berg Balance Scale; calculation; cognition; cognitive defect; complication; development; disease severity; External cue; External cues; Feasibility studies; Feasibility Studies; feasibility study; feedback system; Floors; Freezing; freezing of gait; Freezing of gait; Freezing of gaits; frequency; gait; Gait; Gait Disorders, Neurologic; Iterative methods; Light stripe; Light stripes; Metronome; middle aged; Mobility; multidisciplinary team; muscle isometric contraction; neurologic gait disorder; osseointegration; Parkinson disease; Parkinson Disease; Parkinson’s disease; patient satisfaction; Patient satisfaction; Patient's satisfaction; Physical therapy; physiotherapy; Physiotherapy; semi structured interview; Smart home; Smart homes; step length; step time; technology; Technology; Unified Parkinson Disease Rating Scale; validation process; visibility; walking; walking speed</t>
  </si>
  <si>
    <t>DZIQWPQL</t>
  </si>
  <si>
    <t>Haamer, R.E.; Mikhailava, N.; Podliesnova, V.; Saremat, R.; Lusmägi, T.; Petrinec, A.; Anbarjafari, G.</t>
  </si>
  <si>
    <t>Motion Sickness in Mixed-Reality Situational Awareness System</t>
  </si>
  <si>
    <t>10.3390/app14062231</t>
  </si>
  <si>
    <t>https://www.scopus.com/inward/record.uri?eid=2-s2.0-85192452684&amp;doi=10.3390%2fapp14062231&amp;partnerID=40&amp;md5=f3c68494203dfa2bbd44aba366a64a6b</t>
  </si>
  <si>
    <t>This research focuses on enhancing the user experience within a Mixed-Reality Situational Awareness System (MRSAS). The study employed the Simulator Sickness Questionnaire (SSQ) in order to gauge and quantify the user experience and to compare the effects of changes to the system. As the results of SSQ are very dependant on inherent motion sickness susceptibility, the Motion Sickness Susceptibility Questionnaire (MSQ) was used to normalize the results. The experimental conditions were tested on a simulated setup which was also compared to its real-life counterpart. This simulated setup was adjusted to best match the conditions found in the real system by using post-processing effects. The test subjects in this research primarily consisted of 17–28 years old university students representing both male and female genders as well as a secondary set with a larger age range but predominantly male. In total, there were 41 unique test subjects in this study. The parameters that were analyzed in this study were the Field of View (FoV) of the headset, the effects of peripheral and general blurring, camera distortions, camera white balance and users adaptability to VR over time. All of the results are presented as the average of multiple user results and as scaled by user MSQ. The findings suggest that SSQ scores increase rapidly in the first 10–20 min of testing and level off at around 40–50 min. Repeated exposure to VR reduces MS buildup, and a FoV of 49–54 is ideal for a MRSAS setup. Additionally camera based effects like lens distortion and automatic white balance had negligible effests on MS. In this study a new MSQ based SSQ normalization technique was also developed and utilized for comparison. While the experiments in this research were primarily conducted with the goal of improving the physical Vegvisir system, the results themselves may be applicable for a broader array of VR/MR awareness systems and can help improve the UX of future applications. © 2024 by the authors.</t>
  </si>
  <si>
    <t>virtual reality; user experience; motion sickness; mixed reality; MRSAS; MSQ; SSQ</t>
  </si>
  <si>
    <t>YUQQ9FTL</t>
  </si>
  <si>
    <t>Amara, K.; Kerdjidj, O.; Guerroudji, M.A.; Zenati, N.; Djekoune, O.</t>
  </si>
  <si>
    <t>Augmented Reality Visualization and Interaction for COVID-19 CT-Scan NN Automated Segmentation: A Validation Study</t>
  </si>
  <si>
    <t>IEEE Sensors Journal</t>
  </si>
  <si>
    <t>1530437X (ISSN)</t>
  </si>
  <si>
    <t>10.1109/JSEN.2023.3265997</t>
  </si>
  <si>
    <t>https://www.scopus.com/inward/record.uri?eid=2-s2.0-85153481522&amp;doi=10.1109%2fJSEN.2023.3265997&amp;partnerID=40&amp;md5=55256a5bb0b3a21152d608100598b065</t>
  </si>
  <si>
    <t>Although medical imaging technology has persisted in evolving over the last decades, the techniques and technologies used for analytical and visualization purposes have remained constant. Manual or semiautomatic segmentation is, in many cases, complicated. It requires the intervention of a specialist and is time-consuming, especially during the coronavirus disease (COVID-19) pandemic, which has had devastating medical and economic consequences. Processing and visualizing medical images with advanced techniques represent medical professionals' breakthroughs. This article studies how augmented reality (AR) and artificial intelligence (AI) can transform medical practice during COVID-19 and post-COVID-19 pandemic. Here, we report an AR visualization and interaction platform; it covers the whole process from uploading chest computed tomography (CT)-scan images to automatic segmentation-based deep learning, 3-D reconstruction, 3-D visualization, and manipulation. AR provides a more realistic 3-D visualization system, allowing doctors to effectively interact with the generated 3-D model of segmented lungs and COVID-19 lesions. We use the U-Net neural network (NN) for automated segmentation. The statistical measures obtained using the Dice score, pixel accuracy, sensitivity, G -mean, and specificity are 0.749, 0.949, 0.956, 0.955, and 0.954, respectively. The user-friendliness and usability are objectified by a formal user study that compared our AR-assisted design to the standard diagnosis setup. One hundred and six doctors and medical students, including eight senior medical lecturers, volunteered to assess our platform. The platform could be used as an aid-diagnosis tool to identify and analyze the COVID-19 infectious or as a training tool for residents and medical students. The prototype can be extended to other pulmonary pathologies.  © 2001-2012 IEEE.</t>
  </si>
  <si>
    <t>12114-12123</t>
  </si>
  <si>
    <t>IEEE Sensors J.</t>
  </si>
  <si>
    <t>Diagnosis; Automation; Augmented reality; Reality visualization; 3D modeling; Three dimensional computer graphics; Visualization; deep learning; Deep learning; Computerized tomography; Image segmentation; Neural-networks; Medical imaging; AR interaction; AR visualization; augmented reality (AR); Augmented reality interaction; Augmented reality visualization; automated segmentation; Automated segmentation; coronavirus disease (COVID-19); COVID-19; CT-scan; medical imaging; Medical students; U-net; U-Net; Validation study</t>
  </si>
  <si>
    <t>98UT64BZ</t>
  </si>
  <si>
    <t>Capdevila, M.G.; Vitorino, N.; Poledna, Y.; Malena, B.; Drechsler, M.F.; Albuquerque, G.G.; Furlan, T.; Netto, R.S.</t>
  </si>
  <si>
    <t>Smart&amp;Safe Mobility Lab: Mixed Reality Environment with HIL, CV2X for VRU Detection</t>
  </si>
  <si>
    <t>IEEE Int. Conf. Cloud Netw., CloudNet</t>
  </si>
  <si>
    <t>979-835037656-2 (ISBN)</t>
  </si>
  <si>
    <t>10.1109/CloudNet62863.2024.10815791</t>
  </si>
  <si>
    <t>https://www.scopus.com/inward/record.uri?eid=2-s2.0-85217081280&amp;doi=10.1109%2fCloudNet62863.2024.10815791&amp;partnerID=40&amp;md5=134dcb34822952ff50bd3de94a5818eb</t>
  </si>
  <si>
    <t>This work proposes the development of a Mixed Reality Environment (MRE) designed to facilitate Hardware-in-the-Loop (HIL) testing through the simulation of Advanced Driver Assistance Systems (ADAS). The proposed infrastructure will enable the connection of a vehicle to a simulator, which will project images of the virtual environment onto a surface, providing the driver with an immersive experience while oper-ating the connected vehicle. The developed infrastructure will have the capability to directly acquire data from various types of simulated sensor models commonly used in ADAS systems, such as cameras, RADARs, and LiDARs. This setup will be instrumental in evaluating and studying user experience by analyzing driver behavior in response to different interfaces and alert systems. Additionally, the vehicle will be integrated into the vehicular communication network, allowing for comprehensive hardware and software testing in scenarios that pose risks to the physical integrity of the driver and Vulnerable Road Users (VRUs), such as vehicle collisions and areas with frequent VRU crossings. © 2024 IEEE.</t>
  </si>
  <si>
    <t>Journal Abbreviation: IEEE Int. Conf. Cloud Netw., CloudNet</t>
  </si>
  <si>
    <t>Virtual environments; Virtualization; Digital storage; Automated driving; Automobile testing; Highway accidents; Mixed reality; Advanced driver assistance systems; Advanced driver assistances; Analog storage; Automated Driving; Automobile driver simulators; Cellular vehicle to everything; Cellular Vehicle to Everything; Cellulars; Driver-assistance systems; Hardware-in-the-loop simulation; Magnetic levitation vehicles; Mixed Reality; Mixed-reality environment; Road users; Safe mobility; Sensor stimulation; Sensor Stimulation</t>
  </si>
  <si>
    <t>Menezes Ferrazani Mattos D.; Monteiro Moraes I.; Nguyen T.M.T.; de Souza Couto R.; Rubinstein R.G.</t>
  </si>
  <si>
    <t>2024 IEEE 13th International Conference on Cloud Networking, CloudNet 2024</t>
  </si>
  <si>
    <t>9JU98RRL</t>
  </si>
  <si>
    <t>Vona, F.; Ćeranić, M.; Rybnikova, I.; Voigt-Antons, J.-N.</t>
  </si>
  <si>
    <t>Designing User-Centered Simulations of Leadership Situations for Cave Automatic Virtual Environments: Development and Usability Study</t>
  </si>
  <si>
    <t>Commun. Comput. Info. Sci.</t>
  </si>
  <si>
    <t>18650929 (ISSN); 978-303136003-9 (ISBN)</t>
  </si>
  <si>
    <t>10.1007/978-3-031-36004-6_45</t>
  </si>
  <si>
    <t>https://www.scopus.com/inward/record.uri?eid=2-s2.0-85169473375&amp;doi=10.1007%2f978-3-031-36004-6_45&amp;partnerID=40&amp;md5=0d850ee201fe671936d2d2e707d9b6ba</t>
  </si>
  <si>
    <t>Given that experience is a pivotal dimension of learning processes in the field of leadership, the ongoing and unresolved issue is how such experiential moments could be provided when developing leadership skills and competencies. Role-plays and business simulations are widely used in this context as they are said to teach relevant social leadership skills, like those required by everyday communication to followers, by decision-making on compensation, evaluating performance, dealing with conflicts, or terminating contracts. However, the effectiveness of simulations can highly vary depending on the counterpart’s ability to act in the given scenarios. In our project, we deal with how immersive media could create experiential learning based on simulations for leadership development. In recent years different variations of extended reality got significant technological improvements. Head-mounted displays are an easy and cost-efficient way to present high-resolution virtual environments. For groups of people that are part of an immersive experience, cave automatic virtual environments offer an excellent trade-off between actual exchange with other humans and interaction with virtual content simultaneously. The work presented is based on developing a user-centered simulation of leadership situations for cave automatic virtual environments and includes the results of a first usability study. In the future, the presented results can help to support the development and evaluation of simulated situations for cave automatic virtual environments with an emphasis on leadership-related scenarios. © 2023, The Author(s), under exclusive license to Springer Nature Switzerland AG.</t>
  </si>
  <si>
    <t>324-331</t>
  </si>
  <si>
    <t>1836 CCIS</t>
  </si>
  <si>
    <t>Journal Abbreviation: Commun. Comput. Info. Sci.</t>
  </si>
  <si>
    <t>Usability studies; Usability; Virtual reality; Helmet mounted displays; Behavioral research; Economic and social effects; User centered design; Decision making; Cave automatic virtual environments; Caves; Learning process; User-centred; Cave Automatic Virtual Environments; Development study; Leadership situation; Leadership Situations; Leadership skills; Role-plays; User-centered simulation; User-Centered Simulations</t>
  </si>
  <si>
    <t>Stephanidis C.; Antona M.; Ntoa S.; Salvendy G.</t>
  </si>
  <si>
    <t>Communications in Computer and Information Science</t>
  </si>
  <si>
    <t>SMPVH7E5</t>
  </si>
  <si>
    <t>Rosebrock, L.; Freeman, J.; Rovira, A.; Miguel, A.L.; Ward, R.; Bousfield, M.; Riffiod, L.; Kamvar, R.; Kabir, T.; Waite, F.; Freeman, D.</t>
  </si>
  <si>
    <t>Developing an Automated Virtual Reality Therapy for Improving Positive Self-Beliefs and Psychological Well-Being (Phoenix VR Self-Confidence Therapy): Tutorial</t>
  </si>
  <si>
    <t>JMIR Serious Games</t>
  </si>
  <si>
    <t>22919279 (ISSN)</t>
  </si>
  <si>
    <t>10.2196/51512</t>
  </si>
  <si>
    <t>https://www.scopus.com/inward/record.uri?eid=2-s2.0-85201498054&amp;doi=10.2196%2f51512&amp;partnerID=40&amp;md5=c39b6e135fa068dcdef0719271d9cc74</t>
  </si>
  <si>
    <t>Virtual reality (VR) is an immersive technology in which delivery of psychological therapy techniques can be automated. Techniques can be implemented similarly to real-world delivery or in ways that are not possible in the real world to enhance efficacy. The potential is for greater access for patients to effective therapy. Despite an increase in the use of VR for mental health, there are few descriptions of how to build and design automated VR therapies. We describe the development of Phoenix VR Self-Confidence Therapy, designed to increase positive self-beliefs in young patients diagnosed with psychosis in order to improve psychological well-being. A double-diamond, user-centered design process conducted over the course of 18 months was used, involving stakeholders from multiple areas: individuals with lived experience of psychosis, clinical psychologists, treatment designers, and VR software developers. Thirteen meetings were held with young patients diagnosed with psychosis to increase the understanding and improve the assessment of positive self-beliefs, help design the scenarios for implementing therapeutic techniques, and conduct user testing. The resulting Phoenix therapy is a class I United Kingdom Conformity Assessed (UKCA)–certified medical device designed to be used on the standalone Meta Quest 2 (Meta Platforms) headset. Phoenix aims to build up 3 types of positive self-beliefs that are connected to psychological well-being. In a community farm area, tasks are designed to increase a sense of mastery and achievement (“I can make a difference”); in a TV studio, users complete an activity with graded levels of difficulty to promote success in the face of a challenge (“I can do this”); and in a forest by a lake, activities are designed to encourage feelings of pleasure and enjoyment (“I can enjoy things”). Phoenix is delivered over the course of approximately 6 weekly sessions supported by a mental health provider. Patients can take the headsets home to use in between sessions. Usability testing with individuals with lived experience of psychosis, as well as patients in the National Health Service (aged 16‐26 years), demonstrated that Phoenix is engaging, easy to use, and has high levels of satisfaction. © Laina Rosebrock, Jason Freeman, Aitor Rovira, Andre Lages Miguel, Rupert Ward, Matthew Bousfield, Ludovic Riffiod, Roya Kamvar, Thomas Kabir, Felicity Waite, Daniel Freeman.</t>
  </si>
  <si>
    <t>Publisher: JMIR Publications Inc.</t>
  </si>
  <si>
    <t>virtual reality; VR; cognitive behavioural therapy; design process; efficacy; mental health; participant; Phoenix VR Self-Confidence Therapy; psychological therapy; psychological well-being; psychosis; real-world; self-beliefs; stakeholder; user; well-being</t>
  </si>
  <si>
    <t>YPC8VTMS</t>
  </si>
  <si>
    <t>Kashef, A.; Wang, Y.; Assafi, M.N.; Ma, J.; Wang, J.; Jones, J.A.; Thiamwong, L.</t>
  </si>
  <si>
    <t>Developing A novel AI enabled extended reality system for real-time automatic facial expression recognition and system performance evaluation</t>
  </si>
  <si>
    <t>Advanced Engineering Informatics</t>
  </si>
  <si>
    <t>14740346 (ISSN)</t>
  </si>
  <si>
    <t>10.1016/j.aei.2025.103207</t>
  </si>
  <si>
    <t>https://www.scopus.com/inward/record.uri?eid=2-s2.0-85218241426&amp;doi=10.1016%2fj.aei.2025.103207&amp;partnerID=40&amp;md5=def544125aa857990b9e0ee510c7c89f</t>
  </si>
  <si>
    <t>Facial Expression Recognition (FER) is vital for understanding human behavior but faces challenges from varying facial features due to different poses, lighting, and angles. Addressing the growing demand for real-time FER is critical. Extended Reality (XR) offers significant potential in training, education, healthcare, user experience, and relevant data collection. This study aims to develop an AI-enabled XR system for FER by combining a novel Depthwise Separable Convolutional Neural Network (DS-CNN) approach with XR technology. The FER2013 image dataset was used to train and build the proposed FER model. The model's performance was validated using two separate image datasets, demonstrating that the proposed CNN model outperformed existing models on both. Subsequently, the CNN model was integrated with Microsoft HoloLens 2 XR technology to create a real-time, automatic FER system. System evaluation was conducted using System Usability Scale (SUS) and NASA-TLX measures, with results indicating that the proposed smart system is high usability and lower cognitive workload compared with FER using eyes. The AI-enabled XR system offers significant practical applications and potential across various domains, providing valuable managerial insights. The integration of CNN with XR technology represents a substantial advancement in real-time FER, offering improved accuracy and usability under diverse conditions. © 2025 Elsevier Ltd</t>
  </si>
  <si>
    <t>Adv. Eng. Inf.</t>
  </si>
  <si>
    <t>Extended reality; Real- time; Extended Reality; Automatic facial expression recognition; CNN models; Convolutional neural network; Convolutional Neural Network; Convolutional neural networks; Face recognition; Facial expression recognition; Fer2013; FER2013; Image datasets; Real-time facial expression recognition; Real-Time Facial Expression Recognition; Reality systems</t>
  </si>
  <si>
    <t>7B42BDS8</t>
  </si>
  <si>
    <t>Sreenivasan, G.; Zhu, C.; Yi, J.</t>
  </si>
  <si>
    <t>Exoskeleton-Assisted Stance and Kneeling Balance and Work Task Evaluation in Construction</t>
  </si>
  <si>
    <t>IEEE Transactions on Automation Science and Engineering</t>
  </si>
  <si>
    <t>15455955 (ISSN)</t>
  </si>
  <si>
    <t>10.1109/TASE.2025.3538532</t>
  </si>
  <si>
    <t>https://www.scopus.com/inward/record.uri?eid=2-s2.0-85217514254&amp;doi=10.1109%2fTASE.2025.3538532&amp;partnerID=40&amp;md5=401870142c9f9757f7d1567dbbfa5f73</t>
  </si>
  <si>
    <t>Construction workers experience serious safety and health risks in hazardous working environments. Quiet stance and kneeling are among the most common postures performed by construction workers during their daily work. This paper first analyzes lower-limb joint influence on neural balance control strategies using the frequency behavior of the intersection point of ground reaction forces. To evaluate the impact of elevation and wearable knee exoskeletons on postural balance and welding task performance, we design virtual- and mixed-reality (VR/MR) to simulate elevated environments and welding tasks. A linear quadratic regulator-controlled triple- and double-link inverted pendulum model is used for balance strategy quantification in stance and kneeling, respectively. Extensive multi-subject experiments are conducted to evaluate the usability of wearable exoskeletons in destabilizing construction environments. The quantified balance strategies capture the significance of the knee joint during balance control of quiet stance and kneeling gaits. Results show that center of pressure sway area is reduced up to 62% in quiet stance and 39% in kneeling gait for subjects tested in high-elevation worksites with knee exoskeleton assistance. The balance and multitask evaluation confirm and provide guidance on exoskeleton design to mitigate the fall risk in construction.  © 2004-2012 IEEE.</t>
  </si>
  <si>
    <t>IEEE Trans. Autom. Sci. Eng.</t>
  </si>
  <si>
    <t>Mixed reality; Arthroplasty; automation in construction; Automation in construction; Balance control; Balance strategies; biomechanics; Construction workers; Exoskeleton (Robotics); Gait analysis; Health hazards; Joints (anatomy); knee exoskeleton; Knee exoskeleton; Knee prostheses; Pendulums; Postural balance; virtual/mixed reality; Virtual/mixed reality; Welding tasks; Work task</t>
  </si>
  <si>
    <t>M8XISAGR</t>
  </si>
  <si>
    <t>Bazargani, J.S.; Rahim, N.; Sadeghi-Niaraki, A.; Abuhmed, T.; Song, H.; Choi, S.-M.</t>
  </si>
  <si>
    <t>Alzheimer's disease diagnosis in the metaverse</t>
  </si>
  <si>
    <t>Computer Methods and Programs in Biomedicine</t>
  </si>
  <si>
    <t>01692607 (ISSN)</t>
  </si>
  <si>
    <t>10.1016/j.cmpb.2024.108348</t>
  </si>
  <si>
    <t>https://www.scopus.com/inward/record.uri?eid=2-s2.0-85199518500&amp;doi=10.1016%2fj.cmpb.2024.108348&amp;partnerID=40&amp;md5=7cfdfbdd6f0e475f0e8a52d5219d3667</t>
  </si>
  <si>
    <t>Background and Objective: The importance of early diagnosis of Alzheimer's Disease (AD) is by no means negligible because no cure has been recognized for it rather than some therapies only lowering the pace of progression. The research gap reveals information on the lack of an automatic non-invasive approach toward the diagnosis of AD, in particular with the help of Virtual Reality (VR) and Artificial Intelligence. Another perspective highlights that current VR studies fail to incorporate a comprehensive range of cognitive tests and consider design notes for elderlies, leading to unreliable results. Methods: This paper tried to design a VR environment suitable for older adults in which three cognitive assessments namely: ADAS-Cog, Montreal Cognitive Assessment (MoCA), and Mini Mental State Exam (MMSE), are implemented. Moreover, a 3DCNN-ML model was trained based on the corresponding cognitive tests and Magnetic Resonance Imaging (MRI) with different modalities using the Alzheimer's Disease Neuroimaging Initiative 2 (ADNI2) dataset and incorporated into the application to predict if the patient suffers from AD. Results: The model has undergone three experiments with different modalities (Cognitive Scores (CS), MRI images, and CS-MRI). As for the CS-MRI experiment, the trained model achieved 97%, 95%, 95%, 96%, and 94% in terms of precision, recall, F1-score, AUC, and accuracy respectively. The considered design notes were also assessed using a new proposed questionnaire based on existing ones in terms of user experience, user interface, mechanics, in-env assistance, and VR induced symptoms and effects. The designed VR system provided an acceptable level of user experience, with participants reporting an enjoyable and immersive experience. While there were areas for improvement, including graphics and sound quality, as well as comfort issues with prolonged HMD use, the user interface and mechanics of the system were generally well-received. Conclusions: The reported results state that our method's comprehensive analysis of 3D brain volumes and incorporation of cognitive scores enabled earlier detection of AD progression, potentially allowing for timely interventions and improved patient outcomes. The proposed integrated system provided us with promising insights for improvements in the diagnosis of AD using technologies. © 2024</t>
  </si>
  <si>
    <t>Comput. Methods Programs Biomed.</t>
  </si>
  <si>
    <t>virtual reality; Virtual Reality; Female; Humans; Male; Diagnosis; Patient treatment; Article; human; procedures; Virtual reality; female; male; User interfaces; Users' experiences; aged; artificial intelligence; Artificial Intelligence; deep neural network; comparative study; Disease control; Cognitive assessments; Aged; 3DCNN-ML; accuracy; Aged, 80 and over; Alzheimer disease; Alzheimer Disease; Alzheimer Disease Assessment Scale-cognitive subscale; Alzheimer's disease; Alzheimers disease; Artificial intelligence; classifier; clinical assessment; Cognitive assessment; Cognitive tests; cross validation; dementia assessment; diagnosis; diagnostic imaging; Disease diagnosis; disease exacerbation; disorientation; dizziness; Early diagnosis; Magnetic resonance imaging; Magnetic Resonance Imaging; mechanics; medical history; Mental Status and Dementia Tests; Mini Mental State Examination; Montreal cognitive assessment; Multi-modal data; Multimodal data; nausea; Neurodegenerative diseases; neuroimaging; Neuroimaging; neuropsychological assessment; Neuropsychological Tests; nuclear magnetic resonance imaging; physical examination; Statistical tests; The metaverse; timbre; very elderly</t>
  </si>
  <si>
    <t>N9YU9QGR</t>
  </si>
  <si>
    <t>Xu, Y.; Yu, T.; Chen, R.</t>
  </si>
  <si>
    <t>Coverage-Guided Testing for Automatic Speech Recognition Systems</t>
  </si>
  <si>
    <t>Proc. - Int. Conf. Dependable Syst. Their Appl., DSA</t>
  </si>
  <si>
    <t>979-833153239-0 (ISBN)</t>
  </si>
  <si>
    <t>10.1109/DSA63982.2024.00031</t>
  </si>
  <si>
    <t>https://www.scopus.com/inward/record.uri?eid=2-s2.0-85216919522&amp;doi=10.1109%2fDSA63982.2024.00031&amp;partnerID=40&amp;md5=09481be85fb6da06f4d40699145e98fd</t>
  </si>
  <si>
    <t>Automatic Speech Recognition (ASR) systems have become essential in modern life, powering human-computer interactions and voice-activated virtual assistants. These systems, which predominantly rely on deep neural networks, exhibit a probabilistic nature that can lead to unpredictable and erroneous outputs, particularly in varied and dynamic real-world settings. Consequently, it is crucial to thoroughly test ASR systems to identify and resolve bugs that may impair functionality and user experience. Current works for ASR testing fall short in diversity and coverage. To address this, we propose a novel coverage-guided test method for ASR utilizing four neuron coverage criteria to guide the generation of diverse test data and ensure comprehensive testing across multiple dimensions. We evaluated the effectiveness of our method using three popular datasets and two DNN-based ASR systems. The results show that the generated data significantly improve coverage rates, enabling more comprehensive testing.  © 2024 IEEE.</t>
  </si>
  <si>
    <t>170-171</t>
  </si>
  <si>
    <t>Journal Abbreviation: Proc. - Int. Conf. Dependable Syst. Their Appl., DSA</t>
  </si>
  <si>
    <t>Virtual reality; Computer interaction; Deep neural networks; ASR; Neural-networks; Automatic speech recognition; Automatic speech recognition system; Comprehensive testing; Coverage criteria; neuron coverage criteria; Neuron coverage criteria; Personal computers; Probabilistics; Speech recognition; Testing adequacies; testing adequacy; Virtual assistants</t>
  </si>
  <si>
    <t>Proceedings - 2024 11th International Conference on Dependable Systems and Their Applications, DSA 2024</t>
  </si>
  <si>
    <t>2G79NHSX</t>
  </si>
  <si>
    <t>Song, T.; Eck, U.; Navab, N.</t>
  </si>
  <si>
    <t>Leveraging Motion Tracking for Intuitive Interactions in a Tablet-Based 3D Scene Annotation System</t>
  </si>
  <si>
    <t>Proc. - IEEE Int. Symp. Mixed Augment. Real., ISMAR</t>
  </si>
  <si>
    <t>979-835032838-7 (ISBN)</t>
  </si>
  <si>
    <t>10.1109/ISMAR59233.2023.00071</t>
  </si>
  <si>
    <t>https://www.scopus.com/inward/record.uri?eid=2-s2.0-85180370808&amp;doi=10.1109%2fISMAR59233.2023.00071&amp;partnerID=40&amp;md5=768c9de62b0793ed2d8f21d3efe20c68</t>
  </si>
  <si>
    <t>In the rapidly evolving field of computer vision, efficient and accurate annotation of 3D scenes plays a crucial role. While automation has streamlined this process, manual intervention is still essential for obtaining precise annotations. Existing annotation tools often lack intuitive interactions and efficient interfaces, particularly when it comes to annotating complex elements such as 3D bounding boxes, 6D human poses, and semantic relationships in a 3D scene. Therefore, it is often time-consuming and error-prone. Emerging technologies such as augmented reality (AR) and virtual reality (VR) have shown potential to provide an immersive and interactive environment for annotators to label objects and their relationships. However, the cost and accessibility of these technologies can be a barrier to their widespread adoption. This work introduces a novel tablet-based system that utilizes built-in motion tracking to facilitate an efficient and intuitive 3D scene annotation process. The system supports a variety of annotation tasks and leverages the tracking and mobility features of the tablet to enhance user interactions. Through a thorough user study investigating three distinct tasks - creating bounding boxes, adjusting human poses, and annotating scene relationships - we evaluate the effectiveness and usability of two interaction methods: touch-based interactions and hybrid interactions that utilize both touch and device motion tracking. Our results suggest that leveraging the tablet's motion tracking feature could lead to more intuitive and efficient annotation processes. This work contributes to the understanding of tablet-based interaction and the potential it holds for annotating complex 3D scenes. © 2023 IEEE.</t>
  </si>
  <si>
    <t>563-572</t>
  </si>
  <si>
    <t>Journal Abbreviation: Proc. - IEEE Int. Symp. Mixed Augment. Real., ISMAR</t>
  </si>
  <si>
    <t>Mobile-computing; Virtual reality; Augmented reality; Three dimensional computer graphics; User interfaces; Empirical studies; Design-process; Design; Motion analysis; Semantics; Human-centered computing; Design and evaluation methods; Design method; Empirical studies in interaction design; Empirical study in interaction design; Interaction design; Interaction design process and method; Interaction design process and methods; Ubiquitous and mobile computing design and evaluation method; Ubiquitous and mobile computing design and evaluation methods; Ubiquitous computing</t>
  </si>
  <si>
    <t>Bruder G.; Olivier A.H.; Cunningham A.; Peng E.Y.; Grubert J.; Williams I.</t>
  </si>
  <si>
    <t>Proceedings - 2023 IEEE International Symposium on Mixed and Augmented Reality, ISMAR 2023</t>
  </si>
  <si>
    <t>9LEEC7T6</t>
  </si>
  <si>
    <t>Vezzani, L.; Strada, F.; Bottino, A.</t>
  </si>
  <si>
    <t>Towards CARLA VR: Testing Head-Up Displays in CARLA Driving Simulator</t>
  </si>
  <si>
    <t>23673370 (ISSN); 978-303184456-0 (ISBN)</t>
  </si>
  <si>
    <t>10.1007/978-3-031-84457-7_1</t>
  </si>
  <si>
    <t>https://www.scopus.com/inward/record.uri?eid=2-s2.0-105000762805&amp;doi=10.1007%2f978-3-031-84457-7_1&amp;partnerID=40&amp;md5=7576ff6db0c61ddca5b665318f989c95</t>
  </si>
  <si>
    <t>Head-up displays (HUDs) have attracted significant interest in the automotive industry due to their potential to improve driving safety and communication with the vehicle. Testing HUDs is a critical but difficult task, as a balance must be struck between the realism of the test environment and safety requirements. While an optimal test scenario would be a real-world environment with pedestrians and other vehicles, such conditions pose a significant safety threat. Therefore, immersive simulations based on Virtual Reality (VR) are often used to reduce these risks while creating a realistic test scenario. However, despite extensive research in HUD technology, there is a notable lack of standardized methodologies and tools for systematically evaluating drivers’ experience and interactions with HUDs. To address this limitation we propose to add such features to the CARLA driving simulator. This widely used simulator stands out for its open-source nature and collaborative platform that has attracted experts from different areas of automotive disciplines. The use of CARLA for testing HUDs in an immersive VR environment is still limited. This study aims to address this gap by presenting a proof-of-concept implementation within CARLA that emulates the HUD features documented in the existing literature and integrates them into an immersive VR experience. Preliminary experimental with vehicles of different Automation Levels (ALs) results confirm this approach’s feasibility and show CARLA’s effectiveness as a tool for testing in-vehicle HUDs and evaluating the overall quality of the simulator environment. © The Author(s), under exclusive license to Springer Nature Switzerland AG 2025.</t>
  </si>
  <si>
    <t>1283 LNNS</t>
  </si>
  <si>
    <t>Virtual environments; Virtual reality; Virtual addresses; Immersive virtual reality; Users' experiences; Automobile testing; Driver licensing; User experience; Automobile driver simulators; Magnetic levitation vehicles; Automobile simulators; Automotive industry; Automotives; CARLA; Driving safety; Driving simulator; Head-up display; Head-UpDisplay; Heads-up-display; Pedestrian safety; Test Environment; Test scenario</t>
  </si>
  <si>
    <t>Arai K.</t>
  </si>
  <si>
    <t>WQBETUYD</t>
  </si>
  <si>
    <t>Łysakowski, M.; Gapsa, J.; Lyu, C.; Bohné, T.; Tadeja, S.K.; Skrzypczyński, P.</t>
  </si>
  <si>
    <t>Enhancing augmented reality with machine learning for hands-on origami training</t>
  </si>
  <si>
    <t>Frontiers in Virtual Reality</t>
  </si>
  <si>
    <t>26734192 (ISSN)</t>
  </si>
  <si>
    <t>10.3389/frvir.2025.1499830</t>
  </si>
  <si>
    <t>https://www.scopus.com/inward/record.uri?eid=2-s2.0-85217392938&amp;doi=10.3389%2ffrvir.2025.1499830&amp;partnerID=40&amp;md5=e523766ffb878a361b6e01b790a275c0</t>
  </si>
  <si>
    <t>This research explores integrating augmented reality (AR) with machine learning (ML) to enhance hands-on skill acquisition through origami folding. We developed an AR system using the YOLOv8 model to provide real-time feedback and automatic validation of each folding step, offering step-by-step guidance to users. A novel approach to training dataset preparation was introduced, which improves the accuracy of detecting and assessing origami folding stages. In a formative user study involving 16 participants tasked with folding multiple origami models, the results revealed that while the ML-driven feedback increased task completion times, it also made participants feel more confident throughout the folding process. However, they also reported that the feedback system added cognitive load, slowing their progress, though it provided valuable guidance. These findings suggest that while ML-supported AR systems can enhance the user experience, further optimization is required to streamline the feedback process and improve efficiency in complex manual tasks. Copyright © 2025 Łysakowski, Gapsa, Lyu, Bohné, Tadeja and Skrzypczyński.</t>
  </si>
  <si>
    <t>Front. Virtual. Real.</t>
  </si>
  <si>
    <t>augmented reality; education; assembly task; edge computing; machine learning</t>
  </si>
  <si>
    <t>BHXYSVBN</t>
  </si>
  <si>
    <t>Sturley, H.; Fournier, A.; Salcedo-Navarro, A.; Garcia-Pineda, M.; Segura-Garcia, J.</t>
  </si>
  <si>
    <t>Virtualization vs. Containerization, a Comparative Approach for Application Deployment in the Computing Continuum Focused on the Edge</t>
  </si>
  <si>
    <t>Future Internet</t>
  </si>
  <si>
    <t>19995903 (ISSN)</t>
  </si>
  <si>
    <t>10.3390/fi16110427</t>
  </si>
  <si>
    <t>https://www.scopus.com/inward/record.uri?eid=2-s2.0-85210575571&amp;doi=10.3390%2ffi16110427&amp;partnerID=40&amp;md5=5f22bfe601bcc5eb286fdf1d933b86e2</t>
  </si>
  <si>
    <t>With the emergence of containerization 10 years ago, we saw a compact, convenient and portable way of running apps directly concurrently with virtualization. The major difference is in the architecture. Containers share the same kernel as the guest and then do not virtualize low-layer components like the Central Processing Unit (CPU). On the one hand, they are lighter and more flexible than virtual machines (VMs). On the other hand, VMs can more precisely meet the low-layer needs and are completely autonomous systems. Nowadays, what is the best architecture to use to develop an application? In this paper, we will study the two main virtual methods of deploying this. We will compare both methods on several criteria: compatibility based on user experience and the ease of installation/deployment, scalability based on the automatic elasticity facing the workload and energy efficiency in terms of energy and computer resources. After the tests, we conclude that the containerization option is the most ecologically advantageous option in terms of energy consumption. © 2024 by the authors.</t>
  </si>
  <si>
    <t>Virtual environments; Virtual reality; Virtualization; Virtual machine; edge computing; Application deployment; Comparative approach; containerization stack; Containerization stack; Edge computing; Energy; Layer components; Mobile edge computing; orchestration; Orchestration; performance tests; Performance tests; virtualization stack; Virtualization stack; Virtualizations</t>
  </si>
  <si>
    <t>7VTKWYX6</t>
  </si>
  <si>
    <t>Marullo, G.; Innocente, C.; Ulrich, L.; Lo Faro, A.; Porcelli, A.; Ruggieri, R.; Vecchio, B.; Vezzetti, E.</t>
  </si>
  <si>
    <t>Home-based mirror therapy in phantom limb pain treatment: the augmented humans framework</t>
  </si>
  <si>
    <t>13807501 (ISSN)</t>
  </si>
  <si>
    <t>10.1007/s11042-025-20628-1</t>
  </si>
  <si>
    <t>https://www.scopus.com/inward/record.uri?eid=2-s2.0-85217440254&amp;doi=10.1007%2fs11042-025-20628-1&amp;partnerID=40&amp;md5=e68faa673061b7071b57f2ee4eabb910</t>
  </si>
  <si>
    <t>The “Augmented Humans” term refers to the opportunity to improve human possibilities by using innovative technologies such as Artificial Intelligence (AI) and Extended Reality (XR). Digital therapies, particularly suitable for those treatments requiring multiple sessions, are increasingly being adopted for home-based treatment, enabling continuous monitoring and rehabilitation for patients, thus alleviating the burden on healthcare facilities by facilitating remote therapy sessions and follow-up visits. Among these, the Mirror Therapy (MT) for patients suffering from Phantom Limb Pain (PLP) could benefit greatly. This paper proposes a novel “Augmented Humans” framework for the treatment of PLP through home-based MT; the framework is designed to consider the activities carried on by the therapy center, the patient, and the system supporting the treatment. Moreover, an XR-based solution that integrates a Deep Learning (DL) approach has been developed to provide patients with a self-testing and self-assessment tool for conducting at-home rehabilitation sessions independently, even in the absence of physical medical staff. The DL algorithm enables real-time monitoring of rehabilitation exercises and automatic provision of personalized feedback on the gesture’s performance, supporting the progressive improvement of the patient’s movements and his ability to adhere to the treatment plan. The technical feasibility and usability of the proposed framework have been evaluated with 23 healthy subjects, highlighting an overall positive user experience. Remarkable results were obtained in terms of automatic gesture evaluation, with macro averaged accuracy and F1-score of 95%, paving the way for the adoption of the “Augmented Humans” approach in the healthcare domain. © The Author(s) 2025.</t>
  </si>
  <si>
    <t>Multimedia Tools Appl</t>
  </si>
  <si>
    <t>Publisher: Springer</t>
  </si>
  <si>
    <t>Augmented reality; Deep learning; Extended reality; Arthroplasty; Ability testing; Augmented human; Augmented humans; Augmented therapy; Digital therapy; Home-based; Home-based treatment; Mirror therapies; Neuromuscular rehabilitation; Pain treatment; Phantom limb pain; Phantom limb pains; Remote patient monitoring</t>
  </si>
  <si>
    <t>C7FQZ6AU</t>
  </si>
  <si>
    <t>Riegler, A.; Riener, A.; Ostermayer, G.</t>
  </si>
  <si>
    <t>From Me to We: Combining Driving Simulation and Traffic Simulation for Holistic Usability and Safety Research</t>
  </si>
  <si>
    <t>ACM Int. Conf. Proc. Ser.</t>
  </si>
  <si>
    <t>979-840070112-2 (ISBN)</t>
  </si>
  <si>
    <t>10.1145/3581961.3609840</t>
  </si>
  <si>
    <t>https://www.scopus.com/inward/record.uri?eid=2-s2.0-85173664261&amp;doi=10.1145%2f3581961.3609840&amp;partnerID=40&amp;md5=77e1d1016ffa3929b4f5f6492074807a</t>
  </si>
  <si>
    <t>This demo showcases the integration of a virtual reality (VR) driving simulator with a traffic simulator to enhance usability, improve traffic safety, and optimize traffic flow. By combining these two technologies, an immersive and holistic evaluation platform can be created. The VR driving simulator provides a realistic driving environment that enables users to experience various traffic scenarios, including complex and hazardous situations, in a controlled and safe manner ("me"-perspective). The traffic simulator complements the VR driving simulator by simulating realistic traffic patterns, including vehicle interactions, traffic signals, and road conditions based on statistical models of individualistic driving ("we"-perspective). The integration of these simulators allows for the evaluation of driver performance, decision-making, and reactions within a dynamic and realistic traffic environment. This combined approach offers benefits such as enhanced driver training, assessment of driver behavior, optimization of traffic management strategies, and development of intelligent transportation systems. By leveraging VR technology and traffic simulation, this integrated approach holds significant potential for future mixed traffic challenges.  © 2023 Owner/Author.</t>
  </si>
  <si>
    <t>294-296</t>
  </si>
  <si>
    <t>Association for Computing Machinery</t>
  </si>
  <si>
    <t>Journal Abbreviation: ACM Int. Conf. Proc. Ser.</t>
  </si>
  <si>
    <t>Virtual reality; Automated driving; Behavioral research; Automobile drivers; Accident prevention; Automobile simulators; Driving simulator; Driving simulation; Decision making; automated driving; Driver training; driving simulation; Intelligent systems; Intelligent vehicle highway systems; Realistic traffics; Safety research; Street traffic control; traffic flow; Traffic flow; traffic safety; Traffic safety; Traffic simulations; Traffic simulators; Usability research; Vehicle actuated signals</t>
  </si>
  <si>
    <t>ACM International Conference Proceeding Series</t>
  </si>
  <si>
    <t>X2HNUBA9</t>
  </si>
  <si>
    <t>Potur, C.; İnce, G.</t>
  </si>
  <si>
    <t>An Augmented Reality Environment for Testing Cockpit Display Systems</t>
  </si>
  <si>
    <t>18650929 (ISSN); 978-303149367-6 (ISBN)</t>
  </si>
  <si>
    <t>10.1007/978-3-031-49368-3_5</t>
  </si>
  <si>
    <t>https://www.scopus.com/inward/record.uri?eid=2-s2.0-85180815780&amp;doi=10.1007%2f978-3-031-49368-3_5&amp;partnerID=40&amp;md5=f387588fa207a0acf40731be1aa6b214</t>
  </si>
  <si>
    <t>In the avionics industry, software test automation is a crucial component, as it plays a significant role in accelerating the development process. Since all automation systems are error-prone, the automation systems that affect flight safety should be supervised by humans as they must be reliable. In this study, an augmented reality based software verification system is designed to observe the visual verification of cockpit screens and detect possible automation errors. In the designed system, an observer can instantly see the test steps and automation results using an augmented reality headset as a hologram on the cockpit screen and can report the errors they observe in test automation. The performance of the proposed system was analyzed qualitatively and quantitatively. The experimental results demonstrated that the use of augmented reality in cockpit display verification systems accelerated the testing process, reduced users’ cognitive load, and improved the system’s usability. © 2023, The Author(s), under exclusive license to Springer Nature Switzerland AG.</t>
  </si>
  <si>
    <t>66-83</t>
  </si>
  <si>
    <t>1997 CCIS</t>
  </si>
  <si>
    <t>Automation; Augmented reality; Software testing; Test Automation; Errors; Automation systems; Avionic industry; Cockpit display systems; Cognitive systems; Development process; Error prones; Flight safety; Software test automation; Software verification; Test automation; Verification; Verification systems</t>
  </si>
  <si>
    <t>da Silva H.P.; da Silva H.P.; Cipresso P.</t>
  </si>
  <si>
    <t>YZR8AL2K</t>
  </si>
  <si>
    <t>Naranjo, J.E.; Ayala, P.; Barrionuevo, C.; Espin, C.X.; Garcia, M.V.</t>
  </si>
  <si>
    <t>Virtual Reality for Carpal Tunnel Syndrome Rehabilitation: A Comprehensive Approach to Therapeutic Efficacy</t>
  </si>
  <si>
    <t>Lect. Notes Comput. Sci.</t>
  </si>
  <si>
    <t>03029743 (ISSN); 978-303171709-3 (ISBN)</t>
  </si>
  <si>
    <t>10.1007/978-3-031-71710-9_1</t>
  </si>
  <si>
    <t>https://www.scopus.com/inward/record.uri?eid=2-s2.0-85205125574&amp;doi=10.1007%2f978-3-031-71710-9_1&amp;partnerID=40&amp;md5=3a82a4154b050170c6fb8453cfc29e3f</t>
  </si>
  <si>
    <t>Virtual reality (VR) technology has emerged as a promising tool for rehabilitation, offering innovative approaches to address conditions such as Carpal Tunnel Syndrome (CTS). This study presents the development and validation of a Virtual Rehabilitation System tailored specifically for CTS rehabilitation. The system integrates VR environments created using Unity graphics engine with haptic equipment to capture real-time hand movements and virtual reality headsets for user interaction. A diverse sample of individuals diagnosed with CTS participated in the validation process, undergoing a series of rehabilitation sessions using the developed system. Results indicate significant improvements in finger mobility and overall usability perception, with a System Usability Scale (SUS) score of 83/100. The proposed system demonstrates favorable outcomes in terms of usability and effectiveness, supporting its potential integration into clinical settings for CTS rehabilitation. Future research may explore advanced VR techniques and AI integration to further enhance rehabilitation outcomes and extend the application of VR in physiotherapy beyond CTS. © The Author(s), under exclusive license to Springer Nature Switzerland AG 2024.</t>
  </si>
  <si>
    <t>15029 LNCS</t>
  </si>
  <si>
    <t>Journal Abbreviation: Lect. Notes Comput. Sci.</t>
  </si>
  <si>
    <t>Augmented reality; Augmented Reality (AR); Carpal tunnel syndrome; Condition; Haptic interfaces; Human Machine Interface; Human rehabilitation equipment; Human-Machine Interfaces; Industrial automation; Industrial Automation; Innovative approaches; Mice (computer peripherals); Patient rehabilitation; SCADA Systems; Therapeutic efficacy; Usability engineering; Usability evaluation; Usability Evaluation; Virtual environments; Virtual reality technology; Virtual rehabilitation; Virtualization</t>
  </si>
  <si>
    <t>De Paolis L.T.; Arpaia P.; Sacco M.</t>
  </si>
  <si>
    <t>Lecture Notes in Computer Science (including subseries Lecture Notes in Artificial Intelligence and Lecture Notes in Bioinformatics)</t>
  </si>
  <si>
    <t>Y7JSKGUY</t>
  </si>
  <si>
    <t>Heinemann, M.B.; Kernbauer, T.; Fleck, P.; Arth, C.</t>
  </si>
  <si>
    <t>Spotlight Control for Real-Time Targeting</t>
  </si>
  <si>
    <t>Comp. Sci. Res. Notes</t>
  </si>
  <si>
    <t>24644617 (ISSN)</t>
  </si>
  <si>
    <t>10.24132/CSRN.3401.32</t>
  </si>
  <si>
    <t>https://www.scopus.com/inward/record.uri?eid=2-s2.0-85211129067&amp;doi=10.24132%2fCSRN.3401.32&amp;partnerID=40&amp;md5=e4f399bd16f26b5b4c8ab1ec6f94784d</t>
  </si>
  <si>
    <t>Off-road heavy machinery such as snow groomers or excavators, often operate in low-light and hazardous environments. In this work, we explore the development of an intelligent camera-spotlight system with automatic and manual control to illuminate points of interest, such as obstacles or individuals at risk. We implement a prototype as proof of concept and integrate our workflow using a standard lighting protocol and a single-board computer. The presented calibration of the camera and spotlight ensures high precision in the desired use cases. In addition to testing the prototype on a real snow groomer, we evaluated its performance in terms of accuracy and repeatability. Overall, we showcase the usability of a commercially available spotlight in the context of spatial augmented reality in heavy machinery applications. © 2024 University of West Bohemia. All rights reserved.</t>
  </si>
  <si>
    <t>299-305</t>
  </si>
  <si>
    <t>Vaclav Skala Union Agency</t>
  </si>
  <si>
    <t>Journal Abbreviation: Comp. Sci. Res. Notes</t>
  </si>
  <si>
    <t>Augmented Reality; Augmented reality; Work-flows; Real- time; Excavators; Hazardous environment; Heavy machinery; Intelligent cameras; Light environment; Lighting; Low light; Off road vehicles; Proof of concept; Roadbuilding machinery; Snow plows; Spatial augmented realities; Spatial Augmented Reality; Spotlight</t>
  </si>
  <si>
    <t>Skala V.; University of West Bohemia, Univerzitni 8, Plzen</t>
  </si>
  <si>
    <t>Computer Science Research Notes</t>
  </si>
  <si>
    <t>NRGY69LF</t>
  </si>
  <si>
    <t>Rzig, D.E.; Iqbal, N.; Attisano, I.; Qin, X.; Hassan, F.</t>
  </si>
  <si>
    <t>Virtual Reality (VR) Automated Testing in the Wild: A Case Study on Unity-Based VR Applications</t>
  </si>
  <si>
    <t>979-840070221-1 (ISBN)</t>
  </si>
  <si>
    <t>10.1145/3597926.3598134</t>
  </si>
  <si>
    <t>https://www.scopus.com/inward/record.uri?eid=2-s2.0-85167652127&amp;doi=10.1145%2f3597926.3598134&amp;partnerID=40&amp;md5=4078058d6beca82f5abd30cd7870b8ca</t>
  </si>
  <si>
    <t>Virtual Reality (VR) is an emerging technique that provides a unique real-time experience for users. VR technologies have provided revolutionary user experiences in various scenarios (e.g., training, education, gaming, etc.). However, testing VR applications is challenging due to their nature which necessitates physical interactivity, and their reliance on specific hardware systems. Despite the recent advancements in VR technology and its usage scenarios, we still know little about VR application testing. To fill up this knowledge gap, we performed an empirical study on 314 open-source VR applications. Our analysis identified that 79% of the VR projects evaluated did not have any automatic tests, and for the VR projects that did, the median functional-method to test-method ratios were lower than those of other project types. Moreover, we uncovered tool support issues concerning the measurement of VR code coverage, and the assertion density results we were able to generate were relatively low, with an average of 17.63%. Finally, through a manual analysis of 370 test cases, we identified the different categories of test cases being used to validate VR application quality attributes. Furthermore, we extracted which of these categories are VR-attention, meaning that test writers need to pay special attention to VR characteristics when writing tests of these categories. We believe that our findings constitute a call to action for the VR development community to improve their automatic testing practices and provide directions for software engineering researchers to develop advanced techniques for automatic test case generation and test quality analysis for VR applications. Our replication package containing the dataset we used, software tools we developed, and the results we found, is accessible at https://doi.org/10.6084/m9.figshare.19678938.  © 2023 ACM.</t>
  </si>
  <si>
    <t>1269-1281</t>
  </si>
  <si>
    <t>Virtual Reality; Virtual reality technology; Virtual reality; Users' experiences; Empirical studies; Real- time; Application programs; Case-studies; Software testing; Quality control; Test case; Automated testing; Empirical Study; Interactivity; Open source software; Software Testing; Software testings; Specific hardware</t>
  </si>
  <si>
    <t>Just R.; Fraser F.</t>
  </si>
  <si>
    <t>ISSTA 2023 - Proceedings of the 32nd ACM SIGSOFT International Symposium on Software Testing and Analysis</t>
  </si>
  <si>
    <t>Q6AC4D9C</t>
  </si>
  <si>
    <t>Dzardanova, E.; Nikolakopoulou, V.; Kasapakis, V.; Vosinakis, S.; Xenakis, I.; Gavalas, D.</t>
  </si>
  <si>
    <t>Exploring the impact of non-verbal cues on user experience in immersive virtual reality</t>
  </si>
  <si>
    <t>Computer Animation and Virtual Worlds</t>
  </si>
  <si>
    <t>15464261 (ISSN)</t>
  </si>
  <si>
    <t>10.1002/cav.2224</t>
  </si>
  <si>
    <t>https://www.scopus.com/inward/record.uri?eid=2-s2.0-85180227621&amp;doi=10.1002%2fcav.2224&amp;partnerID=40&amp;md5=0d5cd48bf74685850b72512f1ff9c9ad</t>
  </si>
  <si>
    <t>Face-to-face communication relies extensively on non-verbal cues (NVCs) which complement, or at times dominate, the communicative process as they convey emotions with intense salience, thus definitively affecting interpersonal communication. The capture, transference, and subsequent interpretation of NVCs becomes complicated in computer-mediated communicative processes, particularly in shared virtual worlds, for which there is growing interest both in regard to NVCs technological integration and their affective impact. This paper presents a between-groups experimental setup which is facilitated in immersive virtual reality (IVR), and examines NVCs effects on user experience, with special emphasis on degree of attention toward each NVC as an isolated controlled variable of a scripted performance by a virtual character (VC). This study aims to evaluate NVCs fidelity based on the capabilities of the motion-capture technologies utilized to address cue integration developmental challenges and examines NVCs impact on users' perceived realism of the VC, their empathy toward him, and the degree of social presence experienced. To meet the objectives set the affective impact of low-fidelity automated NVCs and high-fidelity real-time captured NVCs were compared. The findings of the evaluation suggest that although NVCs do impact user experience to an extent, their effects are notably more subtle compared to previous studies. © 2023 The Authors. Computer Animation and Virtual Worlds published by John Wiley &amp; Sons Ltd.</t>
  </si>
  <si>
    <t>Comput. Anim. Virtual Worlds</t>
  </si>
  <si>
    <t>Publisher: John Wiley and Sons Ltd</t>
  </si>
  <si>
    <t>virtual reality; Performance; Virtual reality; Animation; Immersive virtual reality; User interfaces; Users' experiences; Computer animation; Controlled variables; Face-to-face communications; Inter-personal communications; Interactive computer graphics; non verbal communication; Non-verbal communications; Virtual character; virtual characters; Virtual worlds</t>
  </si>
  <si>
    <t>EL7IGVXQ</t>
  </si>
  <si>
    <t>Serrano, S.M.; Llorca, D.F.; Daza, I.G.; Sotelo, M.Á.</t>
  </si>
  <si>
    <t>Realistic Pedestrian Behaviour in the CARLA Simulator Using VR and Mocap</t>
  </si>
  <si>
    <t>18650929 (ISSN); 978-303141961-4 (ISBN)</t>
  </si>
  <si>
    <t>10.1007/978-3-031-41962-1_5</t>
  </si>
  <si>
    <t>https://www.scopus.com/inward/record.uri?eid=2-s2.0-85172132701&amp;doi=10.1007%2f978-3-031-41962-1_5&amp;partnerID=40&amp;md5=f658cbbe221f8a1ef363e0e3978068bd</t>
  </si>
  <si>
    <t>Simulations are gaining increasingly significance in the field of autonomous driving due to the demand for rapid prototyping and extensive testing. Employing physics-based simulation brings several benefits at an affordable cost, while mitigating potential risks to prototypes, drivers, and vulnerable road users. However, there exit two primary limitations. Firstly, the reality gap which refers to the disparity between reality and simulation and prevents the simulated autonomous driving systems from having the same performance in the real world. Secondly, the lack of empirical understanding regarding the behavior of real agents, such as backup drivers or passengers, as well as other road users such as vehicles, pedestrians, or cyclists. Agent simulation is commonly implemented through deterministic or randomized probabilistic pre-programmed models, or generated from real-world data; but it fails to accurately represent the behaviors adopted by real agents while interacting within a specific simulated scenario. This paper extends the description of our proposed framework to enable real-time interaction between real agents and simulated environments, by means immersive virtual reality and human motion capture systems within the CARLA simulator for autonomous driving. We have designed a set of usability examples that allow the analysis of the interactions between real pedestrians and simulated autonomous vehicles and we provide a first measure of the user’s sensation of presence in the virtual environment. © 2023, The Author(s), under exclusive license to Springer Nature Switzerland AG.</t>
  </si>
  <si>
    <t>95-107</t>
  </si>
  <si>
    <t>1882 CCIS</t>
  </si>
  <si>
    <t>Virtual reality; Autonomous driving; Roads and streets; Real-world; Automated driving; Autonomous vehicles; Road users; Pedestrian safety; Autonomous agents; Autonomous Vehicles; Behavioral model; Behavioural modelling; Pedestrian behavior; Predictive perception; Presence; Real agent; Real time systems; Simulators</t>
  </si>
  <si>
    <t>Holzinger A.; da Silva H.P.; da Silva H.P.; Vanderdonckt J.; Constantine L.</t>
  </si>
  <si>
    <t>6MA2ZZJR</t>
  </si>
  <si>
    <t>Manger, C.; Pusch, F.; Thöne, M.; Wenger, M.; Löcken, A.; Riener, A.</t>
  </si>
  <si>
    <t>Explainability in Automated Parking: The Effect of Augmented Reality Visualizations on User Experience and Situation Awareness</t>
  </si>
  <si>
    <t>979-840070921-0 (ISBN)</t>
  </si>
  <si>
    <t>10.1145/3626705.3627796</t>
  </si>
  <si>
    <t>https://www.scopus.com/inward/record.uri?eid=2-s2.0-85180130330&amp;doi=10.1145%2f3626705.3627796&amp;partnerID=40&amp;md5=186398ae67da9771862631dab20666dd</t>
  </si>
  <si>
    <t>Although automated driving is becoming a more widespread technology, there is still a lack of understanding about how to best communicate information to drivers in the specific situation of automated parking. This mixed-method user study aimed to address this gap by evaluating the preferences of users for information about the vehicle's behavior in automated parking and the impact on user experience and situation awareness. An explainable concept displayed as augmented visualizations in the vehicle's windshield was prototyped and evaluated in a driving simulation study and a qualitative interview. N = 25 participants provided insights into the development of more effective and user-centered interface designs for automated parking. As a result, the explainable concept was preferred by the participants and led to a higher user experience and explainability. This work contributes to the design and evaluation of future automated parking systems and provides a step towards more user-friendly automated driving experiences. © 2023 ACM.</t>
  </si>
  <si>
    <t>146-152</t>
  </si>
  <si>
    <t>Automation; Augmented reality; Reality visualization; Visualization; User interfaces; Users' experiences; Automated driving; Explainable AI; User centered design; Automated Driving; Automated parking; Driving simulation; Human Factors; Mixed method; Parking; Situation awareness; Software design; User Interfaces; User study; User Study; Vehicle behavior</t>
  </si>
  <si>
    <t>Michahelles F.; Knierim P.; Hakkila J.</t>
  </si>
  <si>
    <t>RBTDSYP4</t>
  </si>
  <si>
    <t>Krishnasamy, R.; Vistisen, P.</t>
  </si>
  <si>
    <t>Exploration Games: Can Game-Guided Systems Support Users in Automated Exhibition Sites?</t>
  </si>
  <si>
    <t>Lect. Notes Inst. Comput. Sci. Soc. Informatics Telecommun. Eng.</t>
  </si>
  <si>
    <t>18678211 (ISSN); 978-303167306-1 (ISBN)</t>
  </si>
  <si>
    <t>10.1007/978-3-031-67307-8_8</t>
  </si>
  <si>
    <t>https://www.scopus.com/inward/record.uri?eid=2-s2.0-85200995247&amp;doi=10.1007%2f978-3-031-67307-8_8&amp;partnerID=40&amp;md5=085425c985d2fc7cdde417f1a27a4b34</t>
  </si>
  <si>
    <t>This article delves into the potential of incorporating elements from adventure games into museum exhibitions, with a particular focus on automated exhibition sites. We advocate that principles derived from adventure games can adeptly bridge the two primary expectations of exhibitions: enlightenment and experience. Exploration-based games, such as Explore the Redoubt (XTR) crafted for automated venues, enable users to fulfill both these objectives. XTR, conceived to address the prevailing research voids, integrates game mechanics into the automated exhibition environment, enhancing visitor motivation and engagement. It harnesses interactive digital mediums to present cultural heritage in a relaxed, informal manner. Existing research scarcely touches upon the design of experiential learning games developed for automated sites, which encompass both indoor and outdoor displays. Our methodology contemplates the transformation of visitor conduct at exhibitions, morphing them into avid knowledge seekers. We challenge the adequacy of current user experience models in portraying exhibitions striving to provide both enlightenment and an immersive experience. Consequently, we introduce a framework for museum interactions that deeply engages users, urging them to define their exploration trajectories, seamlessly fusing enlightenment, and engagement. Our study is set in a 17th-century redoubt where initial observations indicated greater outdoor engagement compared to indoor spaces. This observation fueled our initiative to amplify indoor visitor participation. After testing XTR with 30 participants and employing a combination of observations and interviews, we derived key insights on designing digital exploration games that seamlessly combine enlightenment and engagement. We conclude with three design strategies to enhance visitor curiosity and exploration. © ICST Institute for Computer Sciences, Social Informatics and Telecommunications Engineering 2024.</t>
  </si>
  <si>
    <t>96-120</t>
  </si>
  <si>
    <t>589 LNICST</t>
  </si>
  <si>
    <t>Journal Abbreviation: Lect. Notes Inst. Comput. Sci. Soc. Informatics Telecommun. Eng.</t>
  </si>
  <si>
    <t>Automation; Learning systems; Mixed reality; Adventure games; Cultural Heritage; Cultural heritages; Exhibition site; Experiential learning; Exploration-based learning; Exploration-Based Learning; Guided system; Learning game; Mixed reality game; Mixed Reality Game; Motivation and engagements; Museums; Systems support</t>
  </si>
  <si>
    <t>Brooks E.; Kalsgaard Møller A.; Edstrand E.</t>
  </si>
  <si>
    <t>Lecture Notes of the Institute for Computer Sciences, Social-Informatics and Telecommunications Engineering, LNICST</t>
  </si>
  <si>
    <t>4XG43B4H</t>
  </si>
  <si>
    <t>Kamkar, T.; Riener, A.</t>
  </si>
  <si>
    <t>Be Here Now: Development and Evaluation of Scalable eHMIs to Enhance the Attention, Perception, and Safety of Inattentive Pedestrians through Targeted Communication in Complex Traffic Scenarios</t>
  </si>
  <si>
    <t>Int. Conf. Automot. User Interfaces Interact. Veh. Appl., AutomotiveUI - Adjun. Conf. Proc.</t>
  </si>
  <si>
    <t>979-840070520-5 (ISBN)</t>
  </si>
  <si>
    <t>10.1145/3641308.3685051</t>
  </si>
  <si>
    <t>https://www.scopus.com/inward/record.uri?eid=2-s2.0-85206355751&amp;doi=10.1145%2f3641308.3685051&amp;partnerID=40&amp;md5=707824170c3a718252eaec49866ab607</t>
  </si>
  <si>
    <t>Automated vehicles will soon be common in traffic, necessitating effective communication with pedestrians. eHMIs facilitate these interactions, but scalable solutions are needed to address various challenges. In urban environments, pedestrians often fail to perceive AVs' intentions, especially when distracted by multitasking, flocking, or using gadgets. This study enhances attention, perception, and safety of inattentive pedestrians through eHMIs using multi-modal targeted communication (conditions P and N). These targeted eHMIs are evaluated against common multi-modal broadcast communication with audio and visual cues (baseline). The study examines situational awareness, intent perception, and perceived safety among pedestrians using mobile phones while crossing streets. Two targeted eHMI variants were tested: one with projection and personalized audio cues (condition P) and another with personalized mobile notifications and audio cues (condition N). A usability study with 28 participants using a mixed-methods approach shows that targeted nudging from eHMIs improves situational awareness, intent perception, and perceived safety among distracted pedestrians compared to broadcast eHMIs. Thus, targeted eHMI systems could improve pedestrian safety and reduce AV traffic time. © 2024 Copyright held by the owner/author(s).</t>
  </si>
  <si>
    <t>220-225</t>
  </si>
  <si>
    <t>Journal Abbreviation: Int. Conf. Automot. User Interfaces Interact. Veh. Appl., AutomotiveUI - Adjun. Conf. Proc.</t>
  </si>
  <si>
    <t>Virtual Reality; Automated vehicles; Multi-modal; Road users; Human Machine Interface; Pedestrian safety; Condition; Situation awareness; Attention perception; Automated Vehicles; External human machine interface; External Human Machine Interface; Motor transportation; Perceived safety; Perceived Safety; Situation Awareness; Vulnerable road user; Vulnerable Road Users</t>
  </si>
  <si>
    <t>16th International Conference on Automotive User Interfaces and Interactive Vehicular Applications, AutomotiveUI 2024 - Adjunct Conference Proceedings</t>
  </si>
  <si>
    <t>W4IWLDK5</t>
  </si>
  <si>
    <t>Sato, R.; Lee, K.; Izumi, Y.; Kim, S.</t>
  </si>
  <si>
    <t>Automatic Acoustical Material Estimation for Room-Specific Early Reflections in Auditory Augmented Reality (AAR) Application</t>
  </si>
  <si>
    <t>Int. Conf. Audio Games</t>
  </si>
  <si>
    <t>978-171389714-9 (ISBN)</t>
  </si>
  <si>
    <t>https://www.scopus.com/inward/record.uri?eid=2-s2.0-85197215009&amp;partnerID=40&amp;md5=2de97a72db3319683377f7e8b263a9bc</t>
  </si>
  <si>
    <t>Auditory Augmented Reality (AAR) is an emerging technology that enhances user experiences by overlaying spatially appropriate sounds onto a real environment and gives the impression of virtual sounds coexisting with the physical world. A major challenge in achieving a plausible real-time AAR experience is to seamlessly align virtual soundscapes with real-world environments. To address this, we previously introduced the Augmented reality Room Acoustic Estimator (ARAE). However, the earlier versions of the ARAE encountered difficulties in appropriately replicating the room acoustic behavior due to inadequate rendering of early reflections. To overcome these challenges, we implemented two innovative techniques: mesh segmentation to identify dominant acoustic elements and material estimation through deep learning. Our pilot measurement demonstrated that the proposed method better replicates the sound behavior of the physical environment than the one without material estimation in terms of its frequency characteristics, although some discrepancies were also noted. Future developments will concentrate on customizing the material estimation datasets with the intention of inferring real-world acoustic conditions and optimizing the proposed method through subjective evaluations. © 2024 6th International Conference on Audio for Games. All rights reserved.</t>
  </si>
  <si>
    <t>117-124</t>
  </si>
  <si>
    <t>Audio Engineering Society</t>
  </si>
  <si>
    <t>Journal Abbreviation: Int. Conf. Audio Games</t>
  </si>
  <si>
    <t>Emerging technologies; Augmented reality; Users' experiences; Deep learning; Real- time; Augmented reality applications; Architectural acoustics; Frequency estimation; Physical world; Real environments; Reality room; Reverberation; Room acoustics; Soundscapes; Virtual sound</t>
  </si>
  <si>
    <t>2024 6th International Conference on Audio for Games</t>
  </si>
  <si>
    <t>MWD9YWND</t>
  </si>
  <si>
    <t>Colombo, E.; Regli, L.; Esposito, G.; Germans, M.R.; Fierstra, J.; Serra, C.; Sebök, M.; Van Doormaal, T.</t>
  </si>
  <si>
    <t>Mixed Reality for Cranial Neurosurgical Planning: A Single-Center Applicability Study with the First 107 Subsequent Holograms</t>
  </si>
  <si>
    <t>Operative Neurosurgery</t>
  </si>
  <si>
    <t>23324252 (ISSN)</t>
  </si>
  <si>
    <t>10.1227/ons.0000000000001033</t>
  </si>
  <si>
    <t>https://www.scopus.com/inward/record.uri?eid=2-s2.0-85190832780&amp;doi=10.1227%2fons.0000000000001033&amp;partnerID=40&amp;md5=55a3e002df6063869b03f7977f40f3b1</t>
  </si>
  <si>
    <t>BACKGROUND AND OBJECTIVES:Mixed reality (MxR) benefits neurosurgery by improving anatomic visualization, surgical planning and training. We aim to validate the usability of a dedicated certified system for this purpose.METHODS:All cases prepared with MxR in our center in 2022 were prospectively collected. Holographic rendering was achieved using an incorporated fully automatic algorithm in the MxR application, combined with contrast-based semiautomatic rendering and/or manual segmentation where necessary. Hologram segmentation times were documented. Visualization during surgical preparation (defined as the interval between finalized anesthesiological induction and sterile draping) was performed using MxR glasses and direct streaming to a side screen. Surgical preparation times were compared with a matched historical cohort of 2021. Modifications of the surgical approach after 3-dimensional (3D) visualization were noted. Usability was assessed by evaluating 7 neurosurgeons with more than 3 months of experience with the system using a Usefulness, Satisfaction and Ease of use (USE) questionnaire.RESULTS:One hundred-seven neurosurgical cases prepared with a 3D hologram were collected. Surgical indications were oncologic (63/107, 59%), cerebrovascular (27/107, 25%), and carotid endarterectomy (17/107, 16%). Mean hologram segmentation time was 39.4 ± 20.4 minutes. Average surgical preparation time was 48.0 ± 17.3 minutes for MxR cases vs 52 ± 17 minutes in the matched 2021 cohort without MxR (mean difference 4, 95% CI 1.7527-9.7527). Based on the 3D hologram, the surgical approach was modified in 3 cases. Good usability was found by 57% of the users.CONCLUSION:The perioperative use of 3D holograms improved direct anatomic visualization while not significantly increasing intraoperative surgical preparation time. Usability of the system was adequate. Further technological development is necessary to improve the automatic algorithms and reduce the preparation time by circumventing manual and semiautomatic segmentation. Future studies should focus on quantifying the potential benefits in teaching, training, and the impact on surgical and functional outcomes. © 2024 Lippincott Williams and Wilkins. All rights reserved.</t>
  </si>
  <si>
    <t>551-558</t>
  </si>
  <si>
    <t>Oper. Neurosurg.</t>
  </si>
  <si>
    <t>Article; automation; human; adult; augmented reality; Augmented reality; cohort analysis; prospective study; demographics; image segmentation; Mixed reality; questionnaire; Surgical planning; surgical training; algorithm; patient satisfaction; nuclear magnetic resonance imaging; 3D visualization; anesthesia induction; anesthetic agent; aneurysm clipping; arteriovenous malformation; brain lateral ventricle; brain surgery; bypass surgery; carotid endarterectomy; cerebrovascular surgery; computed tomographic angiography; cranial sinus; craniotomy; descriptive research; elective surgery; external carotid artery; glioma; hypophysis adenoma; internal carotid artery; meningioma; metastasis; neurosurgeon; neurosurgery; Neurosurgery; skull; surgical approach; temporal artery; three-dimensional imaging</t>
  </si>
  <si>
    <t>UCFSVV5B</t>
  </si>
  <si>
    <t>Subramanian, K.; Thomas, L.; Sahin, M.; Sahin, F.</t>
  </si>
  <si>
    <t>Supporting Human–Robot Interaction in Manufacturing with Augmented Reality and Effective Human–Computer Interaction: A Review and Framework</t>
  </si>
  <si>
    <t>Machines</t>
  </si>
  <si>
    <t>20751702 (ISSN)</t>
  </si>
  <si>
    <t>10.3390/machines12100706</t>
  </si>
  <si>
    <t>https://www.scopus.com/inward/record.uri?eid=2-s2.0-85207683811&amp;doi=10.3390%2fmachines12100706&amp;partnerID=40&amp;md5=a19f4b71a030482ad1f543881cf30397</t>
  </si>
  <si>
    <t>The integration of Augmented Reality (AR) into Human–Robot Interaction (HRI) represents a significant advancement in collaborative technologies. This paper provides a comprehensive review of AR applications within HRI with a focus on manufacturing, emphasizing their role in enhancing collaboration, trust, and safety. By aggregating findings from numerous studies, this research highlights key challenges, including the need for improved Situational Awareness, enhanced safety, and more effective communication between humans and robots. A framework developed from the literature is presented, detailing the critical elements of AR necessary for advancing HRI. The framework outlines effective methods for continuously evaluating AR systems for HRI. The framework is supported with the help of two case studies and another ongoing research endeavor presented in this paper. This structured approach focuses on enhancing collaboration and safety, with a strong emphasis on integrating best practices from Human–Computer Interaction (HCI) centered around user experience and design. © 2024 by the authors.</t>
  </si>
  <si>
    <t>Mach.</t>
  </si>
  <si>
    <t>user experience; AR interface design; collaborative robotics; Situational Awareness; trust in automation; user-centered design</t>
  </si>
  <si>
    <t>NNZ544GE</t>
  </si>
  <si>
    <t>Shojae Chaeikar, S.; Mirzaei Asl, F.; Yazdanpanah, S.; Zamani, M.; Manaf, A.A.; Khodadadi, T.</t>
  </si>
  <si>
    <t>Secure CAPTCHA by Genetic Algorithm (GA) and Multi-Layer Perceptron (MLP)</t>
  </si>
  <si>
    <t>Electronics (Switzerland)</t>
  </si>
  <si>
    <t>20799292 (ISSN)</t>
  </si>
  <si>
    <t>10.3390/electronics12194084</t>
  </si>
  <si>
    <t>https://www.scopus.com/inward/record.uri?eid=2-s2.0-85173831729&amp;doi=10.3390%2felectronics12194084&amp;partnerID=40&amp;md5=a48ec29a7cd19753dea4c8c4d88e1f85</t>
  </si>
  <si>
    <t>To achieve an acceptable level of security on the web, the Completely Automatic Public Turing test to tell Computer and Human Apart (CAPTCHA) was introduced as a tool to prevent bots from doing destructive actions such as downloading or signing up. Smartphones have small screens, and, therefore, using the common CAPTCHA methods (e.g., text CAPTCHAs) in these devices raises usability issues. To introduce a reliable, secure, and usable CAPTCHA that is suitable for smartphones, this paper introduces a hand gesture recognition CAPTCHA based on applying genetic algorithm (GA) principles on Multi-Layer Perceptron (MLP). The proposed method improves the performance of MLP-based hand gesture recognition. It has been trained and evaluated on 2201 videos of the IPN Hand dataset, and MSE and RMSE benchmarks report index values of 0.0018 and 0.0424, respectively. A comparison with the related works shows a minimum of 1.79% fewer errors, and experiments produced a sensitivity of 93.42% and accuracy of 92.27–10.25% and 6.65% improvement compared to the MLP implementation. The range of the supported hand gestures can be a limit for the application of this research as a limited range may result in a vulnerable CAPTCHA. Also, the processes of training and testing require significant computational resources. In the future, we will optimize the method to run with high reliability in various illumination conditions and skin color and tone. The next development plan is to use augmented reality and create unpredictable random patterns to enhance the security of the method. © 2023 by the authors.</t>
  </si>
  <si>
    <t>authentication; CAPTCHA; genetic algorithm; hand gesture recognition; MLP; multi-layer perceptron</t>
  </si>
  <si>
    <t>4GC8RXZK</t>
  </si>
  <si>
    <t>Chu, C.-H.; Liu, Y.-L.</t>
  </si>
  <si>
    <t>Augmented reality user interface design and experimental evaluation for human-robot collaborative assembly</t>
  </si>
  <si>
    <t>Journal of Manufacturing Systems</t>
  </si>
  <si>
    <t>02786125 (ISSN)</t>
  </si>
  <si>
    <t>10.1016/j.jmsy.2023.04.007</t>
  </si>
  <si>
    <t>https://www.scopus.com/inward/record.uri?eid=2-s2.0-85153212322&amp;doi=10.1016%2fj.jmsy.2023.04.007&amp;partnerID=40&amp;md5=20c12f1a9180146b4f5b3d250b8338f1</t>
  </si>
  <si>
    <t>Artificial intelligence (AI) has been applied to a wide spectrum of industrial sectors, but manual operations remain indispensable in most manufacturing systems due to high complexity or costs involving in automation. A more practical approach is enabling humans to collaborate with machines complementary to each other. One critical issue in human-robot collaboration (HRC) is to assure the operator's productivity, safety, and trust while interacting with the robot. This paper presents an experimental study on user interface design in augmented reality (AR) for human-robot collaborative assembly in a shared workspace. The experiment aims to verify and cross-compare the effectiveness of visual and haptic cues in various forms that convey the robot intent to human. Analysis of the work performance and gazing behavior of participants shows that both cues can reduce their visual attention on the moving robot during the collaboration. The interface that provides the proximity of robot using visual cues is considered most useful. It is not intuitive to recognize complex information by vibration on different parts of the human hand in the experiment. Finally, human trust to robot has a higher correlation on the usability of a user interface than the work performance assisted by the interface. These findings may work as design guidelines for AR assisted human-robot interaction in smart manufacturing. © 2023 The Society of Manufacturing Engineers</t>
  </si>
  <si>
    <t>313-324</t>
  </si>
  <si>
    <t>J Manuf Syst</t>
  </si>
  <si>
    <t>Experimental evaluation; Augmented reality; Human robot interaction; Human-robot collaboration; Human robots; User interfaces; Behavioral research; Manual assembly; Machine design; Design evaluation; Collaborative assembly; Sensory cues; User interface; User interface designs; Wide spectrum; Work performance</t>
  </si>
  <si>
    <t>AADM3WGD</t>
  </si>
  <si>
    <t>Jang, S.-Y.; Kim, S.-A.</t>
  </si>
  <si>
    <t>Automatic Extraction and Linkage between Textual and Spatial Data for Architectural Heritage</t>
  </si>
  <si>
    <t>Journal on Computing and Cultural Heritage</t>
  </si>
  <si>
    <t>15564673 (ISSN)</t>
  </si>
  <si>
    <t>10.1145/3586158</t>
  </si>
  <si>
    <t>https://www.scopus.com/inward/record.uri?eid=2-s2.0-85176762895&amp;doi=10.1145%2f3586158&amp;partnerID=40&amp;md5=fc587f469f00e42b3910fe0cbcf4ae36</t>
  </si>
  <si>
    <t>Recent developments in experience technologies such as augmented reality (AR)/virtual reality (VR) have facilitated receiving content about the audience on site and experiencing architectural heritage in a virtual space. Despite the development of experience devices, if the quantity and quality of content are not sufficiently supported, then immersive user experiences are bound to be limited. Considerable amounts of money, manpower, and time are required to make a building into experience content. Tasks such as building a database create experiential content that occupies a large proportion of the overall process. Therefore, it is necessary to devise an automated method for building data, which is the basis for content creation. This study extracted data on architectural heritage automatically and structured it around spatial expression so it can function as base work for mass content creation. Specifically, this study devised a method to link and structure text and spatial data centering on the architectural spatial data model. Text and spatial data were extracted automatically using deep learning, and each derived result was mapped to Indoor Affordance Spaces - an indoor spatial data model - to test whether information inference is possible based on the interconnection relationship. The spatial experience route inferred using the data model expresses the detailed area where the viewing element exists, based on the description method of the model. It also shows the process of reconstructing an efficient movement line with topological relationships between spaces. The series of processes presented herein showed sufficient applicability to the extraction of data and the connection and utilization of data models. This is useful for extracting and classifying information used for content from massive raw data. This study also considered the specificity arising from architectural heritage and spatial information. Therefore, the research concept can be applied in exhibition and experience spaces, such as architectural heritage, museums, and art galleries, to create sources for content creation and refer to content composition. © 2023 Copyright held by the owner/author(s). Publication rights licensed to ACM.</t>
  </si>
  <si>
    <t>J. Comput. Cult. Heritage</t>
  </si>
  <si>
    <t>Publisher: Association for Computing Machinery</t>
  </si>
  <si>
    <t>Augmented reality; Data mining; Deep learning; Additional key word and phrasesarchitectural heritage; Additional Key Words and PhrasesArchitectural heritage; Affordances; Architectural heritage; Classification (of information); Content creation; data linkage; Data linkage; experience design; Experience design; Indoor affordance space; Indoor Affordance Spaces; information extraction; Information extraction; Key words; Spatial data</t>
  </si>
  <si>
    <t>MSUVI9LS</t>
  </si>
  <si>
    <t>Birrenbach, T.; Stuber, R.; Müller, C.E.; Sutter, P.-M.; Hautz, W.E.; Exadaktylos, A.K.; Müller, M.; Wespi, R.; Sauter, T.C.</t>
  </si>
  <si>
    <t>Virtual reality simulation to enhance advanced trauma life support trainings – a randomized controlled trial</t>
  </si>
  <si>
    <t>BMC Medical Education</t>
  </si>
  <si>
    <t>14726920 (ISSN)</t>
  </si>
  <si>
    <t>10.1186/s12909-024-05645-2</t>
  </si>
  <si>
    <t>https://www.scopus.com/inward/record.uri?eid=2-s2.0-85196104706&amp;doi=10.1186%2fs12909-024-05645-2&amp;partnerID=40&amp;md5=43528d928ab2a5d57cff7d44a26ab58c</t>
  </si>
  <si>
    <t>Background: Advanced Trauma Life Support (ATLS) is the gold standard of initial assessment of trauma patients and therefore a widely used training program for medical professionals. Practical application of the knowledge taught can be challenging for medical students and inexperienced clinicians. Simulation-based training, including virtual reality (VR), has proven to be a valuable adjunct to real-world experiences in trauma education. Previous studies have demonstrated the effectiveness of VR simulations for surgical and technical skills training. However, there is limited evidence on VR simulation training specifically for trauma education, particularly within the ATLS curriculum. The purpose of this pilot study is to evaluate the feasibility, effectiveness, and acceptance of using a fully immersive VR trauma simulation to prepare medical students for the ATLS course. Methods: This was a prospective randomised controlled pilot study on a convenience sample of advanced medical students (n = 56; intervention group with adjunct training using a commercially available semi-automated trauma VR simulation, n = 28, vs control group, n = 28) taking part in the ATLS course of the Military Physician Officer School. Feasibility was assessed by evaluating factors related to technical factors of the VR training (e.g. rate of interruptions and premature termination). Objective and subjective effectiveness was assessed using confidence ratings at four pre-specified points in the curriculum, validated surveys, clinical scenario scores, multiple choice knowledge tests, and ATLS final clinical scenario and course pass rates. Acceptance was measured using validated instruments to assess variables of media use (Technology acceptance, usability, presence and immersion, workload, and user satisfaction). Results: The feasibility assessment demonstrated that only one premature termination occurred and that all remaining participants in the intervention group correctly stabilised the patient. No significant differences between the two groups in terms of objective effectiveness were observed (p = 0.832 and p = 0.237 for the pretest and final knowledge test, respectively; p = 0.485 for the pass rates for the final clinical scenario on the first attempt; all participants passed the ATLS course). In terms of subjective effectiveness, the authors found significantly improved confidence post-VR intervention (p &lt;.001) in providing emergency care using the ATLS principles. Perceived usefulness in the TEI was stated with a mean of 4 (SD 0.8; range 0–5). Overall acceptance and usability of the VR simulation was rated as positive (System Usability Scale total score mean 79.4 (SD 11.3, range 0–100). Conclusions: The findings of this prospective pilot study indicate the potential of using VR trauma simulations as a feasible and acceptable supplementary tool for the ATLS training course. Where objective effectiveness regarding test and scenario scores remained unchanged, subjective effectiveness demonstrated improvement. Future research should focus on identifying specific scenarios and domains where VR can outperform or enhance traditional learning methods in trauma simulation. © The Author(s) 2024.</t>
  </si>
  <si>
    <t>BMC Med. Educ.</t>
  </si>
  <si>
    <t>virtual reality; Virtual Reality; Adult; Female; Humans; Male; controlled study; human; Virtual reality; adult; female; male; young adult; Pilot Projects; pilot study; Prospective Studies; prospective study; medical student; Young Adult; education; Feasibility Studies; feasibility study; Simulation; advanced trauma life support; Advanced Trauma Life Support Care; ATLS; clinical competence; Clinical Competence; curriculum; Curriculum; Educational Measurement; Medical education; randomized controlled trial; simulation training; Simulation Training; Students, Medical; Trauma management</t>
  </si>
  <si>
    <t>JHMPF4RV</t>
  </si>
  <si>
    <t>Ma, G.; Teng, H.</t>
  </si>
  <si>
    <t>Research on Design Methods of Smart Home Products Based on Virtual Reality Technology</t>
  </si>
  <si>
    <t>Int. Conf. Evol. Algorithms Soft Comput. Tech., EASCT</t>
  </si>
  <si>
    <t>979-835031341-3 (ISBN)</t>
  </si>
  <si>
    <t>10.1109/EASCT59475.2023.10392895</t>
  </si>
  <si>
    <t>https://www.scopus.com/inward/record.uri?eid=2-s2.0-85187306610&amp;doi=10.1109%2fEASCT59475.2023.10392895&amp;partnerID=40&amp;md5=457d1ac8bfeaaa4a94c7edac6ee2dc6d</t>
  </si>
  <si>
    <t>In recent years, the variety of smart home products has been continuously increasing, and smart home products are also moving towards rapid development towards intelligence. However, most enterprises do not attach importance to the improvement of product design methods, and there are still many problems to be solved for products in the market. They hope to improve the existing problems through research on design methods. The design process of smart home products based on virtual reality technology is divided into five stages: research stage, building user model stage, product positioning stage, building product module library and product system stage, and product development and testing stage. The design method of smart home products based on virtual reality technology can achieve innovation in design methods, reduce product development costs, and improve user experience. The experimental results indicate that the design method based on virtual reality is far superior to traditional methods. © 2023 IEEE.</t>
  </si>
  <si>
    <t>Journal Abbreviation: Int. Conf. Evol. Algorithms Soft Comput. Tech., EASCT</t>
  </si>
  <si>
    <t>virtual reality; Automation; Virtual reality technology; Virtual reality; Product development; User interfaces; Design-process; Smart homes; Product design; Digital libraries; Design method; Structural design; Building users; Existing problems; Home products; product design; Product design method; Research stages; Smart home product; smart home products</t>
  </si>
  <si>
    <t>2023 International Conference on Evolutionary Algorithms and Soft Computing Techniques, EASCT 2023</t>
  </si>
  <si>
    <t>DNZSLUVG</t>
  </si>
  <si>
    <t>Federico, S.; Zitti, M.; Regazzetti, M.; Dal Pozzo, E.; Cieślik, B.; Pomella, A.; Stival, F.; Pirini, M.; Pregnolato, G.; Kiper, P.</t>
  </si>
  <si>
    <t>Integration of Smart Home and Building Automation Systems in Virtual Reality and Robotics-Based Technological Environment for Neurorehabilitation: A Pilot Study Protocol</t>
  </si>
  <si>
    <t>Journal of Personalized Medicine</t>
  </si>
  <si>
    <t>20754426 (ISSN)</t>
  </si>
  <si>
    <t>10.3390/jpm14050522</t>
  </si>
  <si>
    <t>https://www.scopus.com/inward/record.uri?eid=2-s2.0-85194384054&amp;doi=10.3390%2fjpm14050522&amp;partnerID=40&amp;md5=7a6c1f03fec153721b958c3a5efe97c2</t>
  </si>
  <si>
    <t>Technological innovation has revolutionized healthcare, particularly in neurological rehabilitation, where it has been used to address chronic conditions. Smart home and building automation (SH&amp;BA) technologies offer promising solutions for managing chronic disabilities associated with such conditions. This single group, pre-post longitudinal pilot study, part of the H2020 HosmartAI project, aims to explore the integration of smart home technologies into neurorehabilitation. Eighty subjects will be enrolled from IRCCS San Camillo Hospital (Venice, Italy) and will receive rehabilitation treatment through virtual reality (VR) and robotics devices for 15 h per day, 5 days a week for 3 weeks in the HosmartAI Room (HR), equipped with SH&amp;BA devices measuring the environment. The study seeks to optimize patient outcomes and refine rehabilitation practices. Findings will be disseminated through peer-reviewed publications and scientific meetings, contributing to advancements in neurological rehabilitation and guiding future research. © 2024 by the authors.</t>
  </si>
  <si>
    <t>J. Pers. Med.</t>
  </si>
  <si>
    <t>virtual reality; building automation; Article; automation; human; adult; female; human experiment; male; pilot study; questionnaire; patient satisfaction; walking speed; building; depth perception; digital health; fall risk assessment; follow up; hand function; health care facility; health care organization; home automation; Likert scale; longitudinal study; neurological rehabilitation; neurorehabilitation; patient care; patient monitoring; Patient Satisfaction Questionnaire; physical activity; quality of life; rehabilitation center; retrospective study; risk assessment; robotics; scoring system; six minute walk test; smart home technology; System Usability Scale; visual analog scale</t>
  </si>
  <si>
    <t>ZU7X7DQD</t>
  </si>
  <si>
    <t>Zhang, F.; Wang, Z.; Lyu, X.; Zhao, S.; Li, M.; Geng, W.; Ji, N.; Du, H.; Gao, F.; Wu, H.; Li, S.</t>
  </si>
  <si>
    <t>Speech-Driven Personalized Gesture Synthetics: Harnessing Automatic Fuzzy Feature Inference</t>
  </si>
  <si>
    <t>IEEE Transactions on Visualization and Computer Graphics</t>
  </si>
  <si>
    <t>10772626 (ISSN)</t>
  </si>
  <si>
    <t>10.1109/TVCG.2024.3393236</t>
  </si>
  <si>
    <t>https://www.scopus.com/inward/record.uri?eid=2-s2.0-85191338552&amp;doi=10.1109%2fTVCG.2024.3393236&amp;partnerID=40&amp;md5=409e140f57bcd60131ad138a9c3cec15</t>
  </si>
  <si>
    <t>Speech-driven gesture generation is an emerging field within virtual human creation. However, a significant challenge lies in accurately determining and processing the multitude of input features (such as acoustic, semantic, emotional, personality, and even subtle unknown features). Traditional approaches, reliant on various explicit feature inputs and complex multimodal processing, constrain the expressiveness of resulting gestures and limit their applicability. To address these challenges, we present Persona-Gestor, a novel end-to-end generative model designed to generate highly personalized 3D full-body gestures solely relying on raw speech audio. The model combines a fuzzy feature extractor and a non-autoregressive Adaptive Layer Normalization (AdaLN) transformer diffusion architecture (DiTs-based). The fuzzy feature extractor harnesses a fuzzy inference strategy that automatically infers implicit, continuous fuzzy features. These fuzzy features, represented as a unified latent feature, are fed into the AdaLN transformer. The AdaLN transformer introduces a conditional mechanism that applies a uniform function across all tokens, thereby effectively modeling the correlation between the fuzzy features and the gesture sequence. This module ensures a high level of gesture-speech synchronization while preserving naturalness. Finally, we employ the diffusion model to train and infer various gestures. Extensive subjective and objective evaluations on the Trinity, ZEGGS, and BEAT datasets confirm our model's superior performance to the current state-of-the-art approaches. Persona-Gestor improves the system's usability and generalization capabilities, setting a new benchmark in speech-driven gesture synthesis and broadening the horizon for virtual human technology.  © 1995-2012 IEEE.</t>
  </si>
  <si>
    <t>6984-6996</t>
  </si>
  <si>
    <t>IEEE Trans Visual Comput Graphics</t>
  </si>
  <si>
    <t>Publisher: IEEE Computer Society</t>
  </si>
  <si>
    <t>Humans; Fuzzy Logic; Fuzzy-Logic; human; procedures; Virtual reality; algorithm; Algorithms; physiology; gesture; Gestures; three-dimensional imaging; AdaLN; Adaptation models; Adaptive layer normalization; Art; computer graphics; Computer Graphics; diffusion; Diffusion; Dit; DiTs; Features extraction; fuzzy inference; Fuzzy inference; Fuzzy inferencer; fuzzy logic; gesture synthesis; Gesture synthesis; Imaging, Three-Dimensional; Normalisation; Semantics; speech; Speech; Speech-driven; transformer; Transformer</t>
  </si>
  <si>
    <t>Q6JQP3VK</t>
  </si>
  <si>
    <t>Adriana, M.; Daniel, C.; Cosmin, M.</t>
  </si>
  <si>
    <t>MediQApp: Advanced Integration of Risk Digitization in E-Health and E-Learning Domains</t>
  </si>
  <si>
    <t>IFMBE Proc.</t>
  </si>
  <si>
    <t>16800737 (ISSN); 978-303162501-5 (ISBN)</t>
  </si>
  <si>
    <t>10.1007/978-3-031-62502-2_42</t>
  </si>
  <si>
    <t>https://www.scopus.com/inward/record.uri?eid=2-s2.0-85210094429&amp;doi=10.1007%2f978-3-031-62502-2_42&amp;partnerID=40&amp;md5=4dcf2e943a6778fb103f9eb3e7756669</t>
  </si>
  <si>
    <t>This scientific research explores the integration of advanced digital automation in healthcare, focusing on its application in mitigating clinical risks across various surgical disciplines. The latest MediQApp (version 5.0) represents a significant advancement in this field, effectively combining E-Health with ELearning. This version has undergone comprehensive evaluations through document analysis, quality management audits, clinical audits, direct observation of hospital activities, process simulations, testing, and extensive user feedback. These evaluations have underscored its efficacy in streamlining risk management and improving operational efficiency within healthcare settings. MediQApp has particularly excelled in user experience, offering an intuitive interface and easy navigation, significantly enhancing user satisfaction among healthcare professionals. The application also shows promise in expanding its capabilities to include predictive analytics, VR/AR integration for training and patient care, and blockchain technology for enhanced data security, positioning it as a pivotal tool in the ongoing digital transformation of the healthcare industry. © The Author(s), under exclusive license to Springer Nature Switzerland AG 2024.</t>
  </si>
  <si>
    <t>359-366</t>
  </si>
  <si>
    <t>Journal Abbreviation: IFMBE Proc.</t>
  </si>
  <si>
    <t>Risk management; E - learning; Clinical research; Electronic health record; Analysis; Analyze; Clinical risks; Digital automation; Digitisation; E health; E-Health; E-Learning; eHealth; ITS applications; Medical Application; Mediqapp; MediQApp; Process Simulation; Process simulations; Scientific researches</t>
  </si>
  <si>
    <t>Costin H.-N.; Petroiu G.G.; Magjarevic R.</t>
  </si>
  <si>
    <t>IFMBE Proceedings</t>
  </si>
  <si>
    <t>KS3AKIAJ</t>
  </si>
  <si>
    <t>Ujkani, A.; Hohnrath, P.; Grundmann, R.; Burmeister, H.-C.</t>
  </si>
  <si>
    <t>Enhancing Maritime Navigation with Mixed Reality: Assessing Remote Pilotage Concepts and Technologies by In Situ Testing</t>
  </si>
  <si>
    <t>Journal of Marine Science and Engineering</t>
  </si>
  <si>
    <t>20771312 (ISSN)</t>
  </si>
  <si>
    <t>10.3390/jmse12071084</t>
  </si>
  <si>
    <t>https://www.scopus.com/inward/record.uri?eid=2-s2.0-85199766470&amp;doi=10.3390%2fjmse12071084&amp;partnerID=40&amp;md5=1f50cac5cb77a95fb5b55ce73bdba121</t>
  </si>
  <si>
    <t>In response to the evolving landscape of maritime operations, new technologies are on the horizon as mixed reality (MR), which shall enhance navigation safety and efficiency during remote assistance as, e.g., in the remote pilotage use case. However, up to now, it is uncertain if this technology can provide benefits in terms of usability and situational awareness (SA) compared with screen-based visualizations, which are established in maritime navigation. Thus, this paper initially tests and assesses novel approaches to pilotage in the congested maritime environment, which integrates augmented reality (AR) for ship captains and virtual reality (VR) and desktop applications for pilots. The tested prototype employs AR glasses, notably the Hololens 2, to superimpose the Automatic Identification System (AIS) data directly into the captain’s field of view, while pilots on land receive identical information alongside live 360-degree video feeds from cameras installed on the ship. Additional minimum functionalities include waypoint setting, bearing indicators, and voice communication. The efficiency and usability of these technologies are evaluated through in situ tests conducted with experienced pilots on a real ship using the System Usability Scale, the Situational Awareness Rating Technique, as well as Simulator Sickness Questionnaires during the assessment. This includes a first indicative comparison of VR and desktop applications for the given use case. © 2024 by the authors.</t>
  </si>
  <si>
    <t>J. Mar. Sci. Eng.</t>
  </si>
  <si>
    <t>virtual reality; augmented reality; in situ test; navigation; remote pilotage; situational awareness; usability assessment</t>
  </si>
  <si>
    <t>4H9JI4PZ</t>
  </si>
  <si>
    <t>Oshimi, H.; Perusquía-Hernández, M.; Isoyama, N.; Uchiyama, H.; Kiyokawa, K.</t>
  </si>
  <si>
    <t>LocatAR: An AR Object Search Assistance System for a Shared Space</t>
  </si>
  <si>
    <t>978-145039984-5 (ISBN)</t>
  </si>
  <si>
    <t>10.1145/3582700.3582712</t>
  </si>
  <si>
    <t>https://www.scopus.com/inward/record.uri?eid=2-s2.0-85150383049&amp;doi=10.1145%2f3582700.3582712&amp;partnerID=40&amp;md5=b6e87ba39e7baf4f61cf4a1eed37b83a</t>
  </si>
  <si>
    <t>Item-finding tasks due to memory lapse are costly activities commonly experienced by many people. However, conventional systems are not suitable for use in a collaborative environment. Therefore, we propose a multi-functional, pre-registration-free, and 3D location-based item management system. The system has two main functions: registration and search. The automatic registration is performed by image-based item movement recognition from the user's grasping and placing motions. The registered item movement data comprises the item category, and the start and end locations. We ensure privacy protection by storing item movement data without images. Also, we provide a user interaction to refuse to share the items with other users. The search is based on the item list or item location. The location-based search is performed by specifying where the user last saw the item. To optimize and test the performance of the system, we first performed parameter optimization and then conducted a user study investigating the performance of a search task. The parameter optimization performed in the registration system led to the discovery of optimal values that are difficult to reach empirically. The search experiment showed that the proposed system's search and guidance functions are effective as an assistance system for finding items, both in terms of search time and user experience. Overall, our system demonstrated the potential to be a useful assistance system for managing items in a shared space. We further discuss the possibility of further exploiting the limited registered information by treating item location as an identifier of the moved item.  © 2023 ACM.</t>
  </si>
  <si>
    <t>66-76</t>
  </si>
  <si>
    <t>Performance; User interfaces; Area-based; area-based search; Area-based search; Assistance system; hand-object interaction; Hand-object interaction; Location; Lost object; lost objects; Motion estimation; Movement datum; object discovery; Object discovery; Object interactions; Shared spaces</t>
  </si>
  <si>
    <t>XBB5844T</t>
  </si>
  <si>
    <t>Mallam, S.C.; Attarzadeh, A.; Samanta, A.; Bhattacharjee, A.; Nordby, K.</t>
  </si>
  <si>
    <t>Using Eye-Tracking to Evaluate Novel Augmented Reality Applications for Maritime Operations</t>
  </si>
  <si>
    <t>Proc Hum Factors Ergon Soc</t>
  </si>
  <si>
    <t>10711813 (ISSN)</t>
  </si>
  <si>
    <t>10.1177/10711813241268744</t>
  </si>
  <si>
    <t>https://www.scopus.com/inward/record.uri?eid=2-s2.0-85214812827&amp;doi=10.1177%2f10711813241268744&amp;partnerID=40&amp;md5=36e9f1078db5640b0148f0e0acd43112</t>
  </si>
  <si>
    <t>This paper presents the developments across a multi-year collaborative industry-academia R&amp;D project designing and testing novel Augmented Reality (AR) solutions for differing maritime operations and work tasks. We describe the step-wise approach taken in our Human Factors testing program exploring the effects of AR on maritime operators. This paper focuses specifically on our empirical simulator laboratory experiments using differing data collection designs, tools and operational scenarios to investigate operator Situation Awareness, cognitive workload, performance and usability. Moving from comparatively rudimentary measures using static scenarios, desktop data collections and post hoc video analysis to implementing eye-tracking and automated object identification in dynamic scenarios and full-mission simulated environments, we present an overview of how our testing program has evolved and lessons learned. Further, we discuss ongoing research and future plans to better understand the effects of AR on maritime end-users to implement human-centred solutions more effectively in maritime settings. © 2024 Human Factors and Ergonomics Society.</t>
  </si>
  <si>
    <t>1246-1253</t>
  </si>
  <si>
    <t>SAGE Publications Inc.</t>
  </si>
  <si>
    <t>Issue: 1 Journal Abbreviation: Proc Hum Factors Ergon Soc</t>
  </si>
  <si>
    <t>Augmented reality; Helmet mounted displays; Augmented reality applications; Ergonomics; Eye-tracking; Data collection; Head-UpDisplay; Heads-up-display; navigation; digitalization; Digitalization; head-up display; Head-up displays; high reliability organization; High reliability organizations; Marine navigation; Maritime operation; Project designing; Ship testing; shipping; Testing programmes; Video analysis</t>
  </si>
  <si>
    <t>Proceedings of the Human Factors and Ergonomics Society</t>
  </si>
  <si>
    <t>45SZVVBT</t>
  </si>
  <si>
    <t>Virvou, M.</t>
  </si>
  <si>
    <t>The Emerging Era Of Human-Ai Interaction: Keynote Address</t>
  </si>
  <si>
    <t>Int. Conf. Inf., Intell., Syst. Appl., IISA</t>
  </si>
  <si>
    <t>978-166546390-4 (ISBN)</t>
  </si>
  <si>
    <t>10.1109/IISA56318.2022.9904422</t>
  </si>
  <si>
    <t>https://www.scopus.com/inward/record.uri?eid=2-s2.0-85141077706&amp;doi=10.1109%2fIISA56318.2022.9904422&amp;partnerID=40&amp;md5=bac312ffba971007d7847b4f461a6a64</t>
  </si>
  <si>
    <t>At present, a major paradigm shift is taking place where computers are no longer solely executing human instructions but rather, they become agents with decision making capabilities through their AI empowered software. This leads to a whole emerging era of Human-AI Interaction which is increasingly affecting working and everyday lives of all people. The promise of AI is big in assisting humans through all sorts of interactive applications including smartphones, wearables, self-driving cars, smart homes, and offices, virtual assistants as well as contributing to the advancements of human achievements in science and arts. AI alleviates human cognitive overload both on the use of complex software and in difficult problem-solving situations, it provides orientation in the vast cyberspace navigation, it offers enlightening visions in huge accumulated human knowledge all through deep learning, machine learning, decision making methods, cognitive theories, fuzzy logic and more but with a degree of uncertainty and possible consequent errors in results. However, in this new kind of interaction, the human nature, capabilities, understanding, feelings, and needs remain unchanged and constitute the most important issue in the two-part dialogue, urging for more research on trustworthy and explainable AI.This paper aims to highlight important advantages and gains and discuss consequent challenges of the emerging human-AI interaction by presenting a critical overview of the state-of-the-art as well as the author's personal point of view as to how this dialogue can acquire more explainability and trustworthiness while preserving usability.  © 2022 IEEE.</t>
  </si>
  <si>
    <t>Journal Abbreviation: Int. Conf. Inf., Intell., Syst. Appl., IISA</t>
  </si>
  <si>
    <t>usability; Automation; Usability; Virtual reality; user experience; User interfaces; Users' experiences; Machine Learning; Machine-learning; Deep learning; Learning systems; Behavioral research; Artificial intelligence; Affective Computing; AI explainability; AI trust; Artificial Intelligence (AI); Artificial intelligence explainability; Artificial intelligence trust; Cognitive Theories; Cognitive theory; Decision making; evaluation; Evaluation; Fuzzy logic; Human computer interaction; Human-AI Interaction; Human-artificial intelligence interaction; Human-computer interaction; Human-Computer Interaction (HCI); Intelligent buildings; Intelligent User Interfaces</t>
  </si>
  <si>
    <t>13th International Conference on Information, Intelligence, Systems and Applications, IISA 2022</t>
  </si>
  <si>
    <t>3CQFA59L</t>
  </si>
  <si>
    <t>Diazgiron-Aguilar, D.; Gonzalez-Islas, J.-C.; Godinez-Garrido, G.; Guzman-Alvarado, M.</t>
  </si>
  <si>
    <t>Virtual Lab Environment for Programmable Logic Controllers Training</t>
  </si>
  <si>
    <t>Proc. Robot. Mex. Congr., COMRob</t>
  </si>
  <si>
    <t>979-835033149-3 (ISBN)</t>
  </si>
  <si>
    <t>10.1109/COMRob57154.2022.9962262</t>
  </si>
  <si>
    <t>https://www.scopus.com/inward/record.uri?eid=2-s2.0-85143986028&amp;doi=10.1109%2fCOMRob57154.2022.9962262&amp;partnerID=40&amp;md5=c92d22bcdc0c6432d04b2e9c93627009</t>
  </si>
  <si>
    <t>Virtual environments for educational and training purposes have become a trend in the last decade as an alternative to traditional pedagogic methods. In this work, a framework for the design of a virtual training system from a Programmable Logic Controller (PLC) and its integration in a virtual environment based on Unity and Computer Aided Design (CAD) modeling is presented. The system presents a 3D environment of an Automation and Control Lab and virtualization of a PLC interface with interactive digital and analog inputs and outputs. A Ladder Diagram (LD) interface for the user to address the mentioned PLC elements is also presented. A System Usability Scale (SUS) test was carried out to determine system functionality and usability, the system and the test were applied to a group of 65 participants. 15 participants evaluated the 3D environment while the other 50 evaluated the PLC and the LD interface. The obtained results show an average of 73.19 and 75.8 points respectively in the SUS tests, making it possible to determine that the usability and functionality of the systems are in a good position.  © 2022 IEEE.</t>
  </si>
  <si>
    <t>60-65</t>
  </si>
  <si>
    <t>Journal Abbreviation: Proc. Robot. Mex. Congr., COMRob</t>
  </si>
  <si>
    <t>automation; Virtual reality; System usability; E-learning; Virtualizations; 3-D environments; Automation and controls; Computer aided design; Computer aided design models; Computer circuits; Controller interfaces; Controllers; Ladder diagram; programmable logic controllers; Programmable logic controllers; Programmed control systems; Training purpose; virtual environment; Virtual lab; Virtual training systems</t>
  </si>
  <si>
    <t>Proceedings of the 24th Robotics Mexican Congress, COMRob 2022</t>
  </si>
  <si>
    <t>NXLVQ8KP</t>
  </si>
  <si>
    <t>Wang, T.-Q.; You, Y.; Osawa, K.; Shimodozono, M.; Tanaka, E.</t>
  </si>
  <si>
    <t>A Remote Rehabilitation and Evaluation System Based on Azure Kinect</t>
  </si>
  <si>
    <t>Journal of Robotics and Mechatronics</t>
  </si>
  <si>
    <t>09153942 (ISSN)</t>
  </si>
  <si>
    <t>10.20965/jrm.2022.p1371</t>
  </si>
  <si>
    <t>https://www.scopus.com/inward/record.uri?eid=2-s2.0-85144269012&amp;doi=10.20965%2fjrm.2022.p1371&amp;partnerID=40&amp;md5=4198ea802bbb7ef607cc8b58b678bacd</t>
  </si>
  <si>
    <t>In response to the shortage, uneven distribution, and high cost of rehabilitation resources in the context of the COVID-19 pandemic, we developed a low-cost, easy-to-use remote rehabilitation system that allows patients to perform rehabilitation training and receive real-time guidance from doctors at home. The proposed system uses Azure Kinect to capture motions with an error of just 3% compared to professional motion capture systems. In addition, the system pro-vides an automatic evaluation function of rehabilitation training, including evaluation of motion angles and trajectories. After acquiring the user’s 3D mo-tions, the system synchronizes the 3D motions to the virtual human body model in Unity with an average error of less than 1%, which gives the user a more intuitive and interactive experience. After a series of evaluation experiments, we verified the usability, con-venience, and high accuracy of the system, finally con-cluding that the system can be used in practical rehabilitation applications. © Fuji Technology Press Ltd.</t>
  </si>
  <si>
    <t>1371-1382</t>
  </si>
  <si>
    <t>J. Rob. Mechatronics</t>
  </si>
  <si>
    <t>Publisher: Fuji Technology Press</t>
  </si>
  <si>
    <t>Virtual reality; Patient rehabilitation; 3D motion; 3d motion acquisition and evaluation; 3D motion acquisition and evaluation; Azure kinect; Azure Kinect; Distribution costs; High costs; Motion acquisition; Motion evaluation; Rehabilitation resources; Rehabilitation training; remote rehabilitation; Remote rehabilitation</t>
  </si>
  <si>
    <t>HTFYJ787</t>
  </si>
  <si>
    <t>Nezami, F.N.; Wächter, M.A.; Maleki, N.; Spaniol, P.; Kühne, L.M.; Haas, A.; Pingel, J.M.; Tiemann, L.; Nienhaus, F.; Keller, L.; König, S.U.; König, P.; Pipa, G.</t>
  </si>
  <si>
    <t>Westdrive x loopar: An open‐access virtual reality project in unity for evaluating user interaction methods during takeover requests</t>
  </si>
  <si>
    <t>10.3390/s21051879</t>
  </si>
  <si>
    <t>https://www.scopus.com/inward/record.uri?eid=2-s2.0-85102113135&amp;doi=10.3390%2fs21051879&amp;partnerID=40&amp;md5=6d50b709f28c1717ed67104b99e320e3</t>
  </si>
  <si>
    <t>With the further development of highly automated vehicles, drivers will engage in non-related tasks while being driven. Still, drivers have to take over control when requested by the car. Here, the question arises, how potentially distracted drivers get back into the control‐loop quickly and safely when the car requests a takeover. To investigate effective human–machine interactions, a mobile, versatile, and cost‐efficient setup is needed. Here, we describe a virtual reality toolkit for the Unity 3D game engine containing all the necessary code and assets to enable fast adaptations to various human–machine interaction experiments, including closely monitoring the subject. The presented project contains all the needed functionalities for realistic traffic behavior, cars, pedestrians, and a large, open‐source, scriptable, and modular VR environment. It covers roughly 25 km2, a package of 125 animated pedestrians, and numerous vehicles, including motorbikes, trucks, and cars. It also contains all the needed nature assets to make it both highly dynamic and realistic. The presented repository contains a C++ library made for LoopAR that enables force feedback for gaming steering wheels as a fully supported component. It also includes all necessary scripts for eye‐tracking in the used devices. All the main functions are integrated into the graphical user interface of the Unity® editor or are available as prefab variants to ease the use of the embedded functionalities. This project’s primary purpose is to serve as an open‐access, cost‐efficient toolkit that enables interested researchers to conduct realistic virtual reality research studies without costly and immobile simulators. To ensure the accessibility and usability of the mentioned toolkit, we performed a user experience report, also included in this paper. © 2021 by the authors. Licensee MDPI, Basel, Switzerland.</t>
  </si>
  <si>
    <t>Publisher: MDPI AG</t>
  </si>
  <si>
    <t>virtual reality; Virtual Reality; Humans; human; Virtual reality; Automated vehicles; User experience; Pedestrian safety; User interaction; Realistic traffics; Graphical user interfaces; 3D game engines; adaptation; Adaptation, Physiological; Automobiles; C++ (programming language); car; Experience report; Fast adaptations; Human– machine interaction; motor vehicle; Motor Vehicles; Out‐of‐the‐loop unfamiliarity (OOTLU) autonomous driving; Patient monitoring; pedestrian; Pedestrians; Research studies; Takeover request (ToR); Virtual reality toolkits; VR research</t>
  </si>
  <si>
    <t>NMUPFKGW</t>
  </si>
  <si>
    <t>Egger, J.; Wild, D.; Weber, M.; Bedoya, C.A.R.; Karner, F.; Prutsch, A.; Schmied, M.; Dionysio, C.; Krobath, D.; Jin, Y.; Gsaxner, C.; Li, J.; Pepe, A.</t>
  </si>
  <si>
    <t>Studierfenster: an Open Science Cloud-Based Medical Imaging Analysis Platform</t>
  </si>
  <si>
    <t>Journal of Digital Imaging</t>
  </si>
  <si>
    <t>08971889 (ISSN)</t>
  </si>
  <si>
    <t>10.1007/s10278-021-00574-8</t>
  </si>
  <si>
    <t>https://www.scopus.com/inward/record.uri?eid=2-s2.0-85123251513&amp;doi=10.1007%2fs10278-021-00574-8&amp;partnerID=40&amp;md5=daa1fdde372479567ae2c95acee53c22</t>
  </si>
  <si>
    <t>Imaging modalities such as computed tomography (CT) and magnetic resonance imaging (MRI) are widely used in diagnostics, clinical studies, and treatment planning. Automatic algorithms for image analysis have thus become an invaluable tool in medicine. Examples of this are two- and three-dimensional visualizations, image segmentation, and the registration of all anatomical structure and pathology types. In this context, we introduce Studierfenster (www.studierfenster.at): a free, non-commercial open science client-server framework for (bio-)medical image analysis. Studierfenster offers a wide range of capabilities, including the visualization of medical data (CT, MRI, etc.) in two-dimensional (2D) and three-dimensional (3D) space in common web browsers, such as Google Chrome, Mozilla Firefox, Safari, or Microsoft Edge. Other functionalities are the calculation of medical metrics (dice score and Hausdorff distance), manual slice-by-slice outlining of structures in medical images, manual placing of (anatomical) landmarks in medical imaging data, visualization of medical data in virtual reality (VR), and a facial reconstruction and registration of medical data for augmented reality (AR). More sophisticated features include the automatic cranial implant design with a convolutional neural network (CNN), the inpainting of aortic dissections with a generative adversarial network, and a CNN for automatic aortic landmark detection in CT angiography images. A user study with medical and non-medical experts in medical image analysis was performed, to evaluate the usability and the manual functionalities of Studierfenster. When participants were asked about their overall impression of Studierfenster in an ISO standard (ISO-Norm) questionnaire, a mean of 6.3 out of 7.0 possible points were achieved. The evaluation also provided insights into the results achievable with Studierfenster in practice, by comparing these with two ground truth segmentations performed by a physician of the Medical University of Graz in Austria. In this contribution, we presented an online environment for (bio-)medical image analysis. In doing so, we established a client-server-based architecture, which is able to process medical data, especially 3D volumes. Our online environment is not limited to medical applications for humans. Rather, its underlying concept could be interesting for researchers from other fields, in applying the already existing functionalities or future additional implementations of further image processing applications. An example could be the processing of medical acquisitions like CT or MRI from animals [Clinical Pharmacology &amp; Therapeutics, 84(4):448–456, 68], which get more and more common, as veterinary clinics and centers get more and more equipped with such imaging devices. Furthermore, applications in entirely non-medical research in which images/volumes need to be processed are also thinkable, such as those in optical measuring techniques, astronomy, or archaeology. © 2022, The Author(s) under exclusive licence to Society for Imaging Informatics in Medicine.</t>
  </si>
  <si>
    <t>340-355</t>
  </si>
  <si>
    <t>J. Digit. Imaging</t>
  </si>
  <si>
    <t>Publisher: Springer Science and Business Media Deutschland GmbH</t>
  </si>
  <si>
    <t>Humans; Diagnosis; human; Virtual reality; Augmented reality; Data visualization; Three dimensional computer graphics; Visualization; Deep learning; Computerized tomography; Image segmentation; x-ray computed tomography; Convolutional neural network; Convolutional neural networks; Magnetic resonance imaging; Magnetic Resonance Imaging; nuclear magnetic resonance imaging; Blood vessels; Client /server; Client/server; Cloud; cloud computing; Cloud Computing; CNN; Computer aided instruction; GAN; Generative adversarial networks; Image analysis; image processing; Image Processing, Computer-Assisted; ISO Standards; ITK; Medical computing; Medical data; Medical image analysis; Medical imaging; Neural Networks, Computer; Open science; Python; Tomography, X-Ray Computed; VTK; Web browsers; Whitepaper</t>
  </si>
  <si>
    <t>2NT2DWRA</t>
  </si>
  <si>
    <t>Hynes, E.; Flynn, R.; Lee, B.; Murray, N.</t>
  </si>
  <si>
    <t>An Evaluation of Lower Facial Micro Expressions as an Implicit QoE Metric for an Augmented Reality Procedure Assistance Application</t>
  </si>
  <si>
    <t>Ir. Signals Syst. Conf., ISSC</t>
  </si>
  <si>
    <t>978-172819418-9 (ISBN)</t>
  </si>
  <si>
    <t>10.1109/ISSC49989.2020.9180173</t>
  </si>
  <si>
    <t>https://www.scopus.com/inward/record.uri?eid=2-s2.0-85092691294&amp;doi=10.1109%2fISSC49989.2020.9180173&amp;partnerID=40&amp;md5=82fa28f9fb380be1c8c813d831fb5d37</t>
  </si>
  <si>
    <t>Augmented reality (AR) has been identified as a key technology to enhance worker utility in the context of increasing automation of repeatable procedures. AR can achieve this by assisting the user in performing complex and frequently changing procedures. Crucial to the success of procedure assistance AR applications is user acceptability, which can be measured by user quality of experience (QoE). An active research topic in QoE is the identification of implicit metrics that can be used to continuously infer user QoE during a multimedia experience. A user's QoE is linked to their affective state. Affective state is reflected in facial expressions. Emotions shown in micro facial expressions resemble those expressed in normal expressions but are distinguished from them by their brief duration. The novelty of this work lies in the evaluation of micro facial expressions as a continuous QoE metric by means of correlation analysis to the more traditional and accepted post-experience self-reporting. In this work, an optimal Rubik's Cube solver AR application was used as a proof of concept for complex procedure assistance. This was compared with a paper-based procedure assistance control. QoE expressed by affect in normal and micro facial expressions was evaluated through correlation analysis with post-experience reports. The results show that the AR application yielded higher task success rates and shorter task durations. Micro facial expressions reflecting disgust correlated moderately to the questionnaire responses for instruction disinterest in the AR application.  © 2020 IEEE.</t>
  </si>
  <si>
    <t>Journal Abbreviation: Ir. Signals Syst. Conf., ISSC</t>
  </si>
  <si>
    <t>augmented reality; Augmented reality; Facial Expressions; User experience; Proof of concept; Correlation methods; Experience report; affective state; Complex procedure; Correlation analysis; Key technologies; micro facial expression; Micro-expressions; Multimedia systems; quality of experience; Quality of experience (QoE); Quality of service</t>
  </si>
  <si>
    <t>2020 31st Irish Signals and Systems Conference, ISSC 2020</t>
  </si>
  <si>
    <t>445HQGGN</t>
  </si>
  <si>
    <t>Barz, A.; Conrad, J.; Wallach, D.</t>
  </si>
  <si>
    <t>Advantages of Using Runtime Procedural Generation of Virtual Environments Based on Real World Data for Conducting Empirical Automotive Research</t>
  </si>
  <si>
    <t>03029743 (ISSN); 978-303059986-7 (ISBN)</t>
  </si>
  <si>
    <t>10.1007/978-3-030-59987-4_2</t>
  </si>
  <si>
    <t>https://www.scopus.com/inward/record.uri?eid=2-s2.0-85090500610&amp;doi=10.1007%2f978-3-030-59987-4_2&amp;partnerID=40&amp;md5=11b0e469e68ed895cbe4a67884947327</t>
  </si>
  <si>
    <t>Driving simulations have become important research tools for improving the in-car user experience. Simulations are especially indispensable when conducting empirical studies in a human-centered development process, where iterative testing in real-world environments is very time-consuming, expensive and potentially dangerous. Constantly advancing possibilities offered by new generations of driving simulations increase the demands and expectations of simulation systems. While the implementation of many components such as simulation hardware or driving physics is very mature by now, the realization of virtual driving environments and scenarios is still a challenging endeavor. A partially automated, algorithmic generation of virtual environments based on real world data provides a possible solution to simplify set-up and execution of research scenarios. The data formats used for this purpose are digital elevation models and map data that can be iteratively processed, improved and expanded for the use in a concrete study. This approach usually requires additional manual steps after the procedural generation is completed. This paper outlines an automated, algorithmic generation of virtual environments based on real-world data, realized at runtime and without subsequent manual post-processing. Significant benefits in automotive research enabled by this approach such as rapid prototyping of study scenarios, support for large-scale virtual environments and the analysis of driving behavior in familiar environments are described. © 2020, Springer Nature Switzerland AG.</t>
  </si>
  <si>
    <t>14-23</t>
  </si>
  <si>
    <t>12429 LNCS</t>
  </si>
  <si>
    <t>Digital elevation model; VR; Automobile drivers; User experience; Ergonomics; Iterative methods; Driving simulation; Human computer interaction; Development process; Analysis of driving behavior; Automotive research; Driving environment; Large-scale virtual environment; OpenDRIVE; OpenStreetMap; Real world environments; Simulation systems</t>
  </si>
  <si>
    <t>Stephanidis C.; Duffy V.G.; Streitz N.; Konomi S.; Krömker H.</t>
  </si>
  <si>
    <t>TMPSTKKF</t>
  </si>
  <si>
    <t>Soans, R.S.; Renken, R.J.; John, J.; Bhongade, A.; Raj, D.; Saxena, R.; Tandon, R.; Gandhi, T.K.; Cornelissen, F.W.</t>
  </si>
  <si>
    <t>Patients Prefer a Virtual Reality Approach Over a Similarly Performing Screen-Based Approach for Continuous Oculomotor-Based Screening of Glaucomatous and Neuro-Ophthalmological Visual Field Defects</t>
  </si>
  <si>
    <t>Frontiers in Neuroscience</t>
  </si>
  <si>
    <t>16624548 (ISSN)</t>
  </si>
  <si>
    <t>10.3389/fnins.2021.745355</t>
  </si>
  <si>
    <t>https://www.scopus.com/inward/record.uri?eid=2-s2.0-85117507456&amp;doi=10.3389%2ffnins.2021.745355&amp;partnerID=40&amp;md5=55a84782ac446b355b4814a5349bbdf9</t>
  </si>
  <si>
    <t>Standard automated perimetry (SAP) is the gold standard for evaluating the presence of visual field defects (VFDs). Nevertheless, it has requirements such as prolonged attention, stable fixation, and a need for a motor response that limit application in various patient groups. Therefore, a novel approach using eye movements (EMs) – as a complementary technique to SAP – was developed and tested in clinical settings by our group. However, the original method uses a screen-based eye-tracker which still requires participants to keep their chin and head stable. Virtual reality (VR) has shown much promise in ophthalmic diagnostics – especially in terms of freedom of head movement and precise control over experimental settings, besides being portable. In this study, we set out to see if patients can be screened for VFDs based on their EM in a VR-based framework and if they are comparable to the screen-based eyetracker. Moreover, we wanted to know if this framework can provide an effective and enjoyable user experience (UX) compared to our previous approach and the conventional SAP. Therefore, we first modified our method and implemented it on a VR head-mounted device with built-in eye tracking. Subsequently, 15 controls naïve to SAP, 15 patients with a neuro-ophthalmological disorder, and 15 glaucoma patients performed three tasks in a counterbalanced manner: (1) a visual tracking task on the VR headset while their EM was recorded, (2) the preceding tracking task but on a conventional screen-based eye tracker, and (3) SAP. We then quantified the spatio-temporal properties (STP) of the EM of each group using a cross-correlogram analysis. Finally, we evaluated the human–computer interaction (HCI) aspects of the participants in the three methods using a user-experience questionnaire. We find that: (1) the VR framework can distinguish the participants according to their oculomotor characteristics; (2) the STP of the VR framework are similar to those from the screen-based eye tracker; and (3) participants from all the groups found the VR-screening test to be the most attractive. Thus, we conclude that the EM-based approach implemented in VR can be a user-friendly and portable companion to complement existing perimetric techniques in ophthalmic clinics. © Copyright © 2021 Soans, Renken, John, Bhongade, Raj, Saxena, Tandon, Gandhi and Cornelissen.</t>
  </si>
  <si>
    <t>Front. Neurosci.</t>
  </si>
  <si>
    <t>Publisher: Frontiers Media S.A.</t>
  </si>
  <si>
    <t>virtual reality; Article; controlled study; human; adult; female; male; user experience; clinical article; eye tracking; glaucoma; perimetry; clinical feature; cross-correlogram; eye movements; gaze; neuro-ophthalmology; oculomotor system; reaction time; risk factor; visual field defect; visual field defects; visual stimulation</t>
  </si>
  <si>
    <t>HQLJ96HS</t>
  </si>
  <si>
    <t>Prati, E.; Villani, V.; Peruzzini, M.; Sabattini, L.</t>
  </si>
  <si>
    <t>An approach based on VR to design industrial human-robot collaborative workstations</t>
  </si>
  <si>
    <t>10.3390/app112411773</t>
  </si>
  <si>
    <t>https://www.scopus.com/inward/record.uri?eid=2-s2.0-85121216295&amp;doi=10.3390%2fapp112411773&amp;partnerID=40&amp;md5=9d67441eb1f0c3d8f3aca320d7469ce3</t>
  </si>
  <si>
    <t>This paper presents an integrated approach for the design of human-robot collaborative workstations in industrial shop floors. In particular, the paper presents how to use virtual reality (VR) technologies to support designers in the creation of interactive workstation prototypes and in early validation of design outcomes. VR allows designers to consider and evaluate in advance the overall user experience, adopting a user-centered perspective. The proposed approach relies on two levels: the first allows designers to have an automatic generation and organization of the workstation physical layout in VR, starting from a conceptual description of its functionalities and required tools; the second aims at supporting designers during the design of human-machine interfaces (HMIs) by interaction mapping, HMI prototyping and testing in VR. The proposed approach has been applied on two realistic industrial case studies related to the design of an intensive warehouse and a collaborative assembly workstation for automotive industry, respectively. The two case studies demonstrate how the approach is suited for early prototyping of complex environments and human-machine interactions by taking into account the user experience from the early phases of design. © 2021 by the authors. Licensee MDPI, Basel, Switzerland.</t>
  </si>
  <si>
    <t>Publisher: MDPI</t>
  </si>
  <si>
    <t>Virtual reality; Human-robot collaboration; Design; Human-machine interface; Human-robot interaction</t>
  </si>
  <si>
    <t>TJATBQ82</t>
  </si>
  <si>
    <t>Brzeski, A.; Cychnerski, J.; Draszawka, K.; Dziubich, K.; Dziubich, T.; Korłub, W.; Rościszewski, P.</t>
  </si>
  <si>
    <t>Automated Classifier Development Process for Recognizing Book Pages from Video Frames</t>
  </si>
  <si>
    <t>18650929 (ISSN); 978-303055813-0 (ISBN)</t>
  </si>
  <si>
    <t>10.1007/978-3-030-55814-7_14</t>
  </si>
  <si>
    <t>https://www.scopus.com/inward/record.uri?eid=2-s2.0-85090094980&amp;doi=10.1007%2f978-3-030-55814-7_14&amp;partnerID=40&amp;md5=c259c7f93fa119e858671aac42aed6be</t>
  </si>
  <si>
    <t>One of the latest developments made by publishing companies is introducing mixed and augmented reality to their printed media (e.g. to produce augmented books). An important computer vision problem that they are facing is classification of book pages from video frames. The problem is non-trivial, especially considering that typical training data is limited to only one digital original per book page, while the trained classifier should be suitable for real-time utilization on mobile devices, where camera can be exposed to highly diverse conditions and computing resources are limited. In this paper we address this problem by proposing an automated classifier development process that allows training classification models that run real-time, with high usability, on low-end mobile devices and achieve average accuracy of 88.95% on our in-house developed test set consisting of over 20 000 frames from real videos of 5 books for children. At the same time, deployment tests reveal that the classifier development process time is reduced approximately 16-fold. © 2020, Springer Nature Switzerland AG.</t>
  </si>
  <si>
    <t>169-179</t>
  </si>
  <si>
    <t>1260 CCIS</t>
  </si>
  <si>
    <t>Springer</t>
  </si>
  <si>
    <t>Augmented reality; Classification models; Convolutional neural networks; Digital libraries; Development process; Machine learning; Classification (of information); Augmented book; Automated classifiers; Book page classification; Business information management; Computation theory; Computer vision; Computer vision problems; Computing resource; Digital devices; Latest development; Mixed and augmented realities</t>
  </si>
  <si>
    <t>Bellatreche L.; Bieliková M.; Boussaïd O.; Darmont J.; Catania B.; Demidova E.; Duchateau F.; Hall M.; Mercun T.; Žumer M.; Novikov B.; Papatheodorou C.; Risse T.; Romero O.; Sautot L.; Talens G.; Wrembel R.</t>
  </si>
  <si>
    <t>EVEDU3WU</t>
  </si>
  <si>
    <t>Kamińska, D.; Zwoliński, G.; Laska-Leśniewicz, A.</t>
  </si>
  <si>
    <t>Usability Testing of Virtual Reality Applications—The Pilot Study</t>
  </si>
  <si>
    <t>10.3390/s22041342</t>
  </si>
  <si>
    <t>https://www.scopus.com/inward/record.uri?eid=2-s2.0-85124232757&amp;doi=10.3390%2fs22041342&amp;partnerID=40&amp;md5=cbf897912919d17c6666ff3ddb8058af</t>
  </si>
  <si>
    <t>The need for objective data-driven usability testing of VR applications is becoming more tangible with the rapid development of numerous VR applications and their increased accessibility. Traditional methods of testing are too time and resource consuming and might provide results that are highly subjective. Thus, the aim of this article is to explore the possibility of automation of usability testing of VR applications by using objective features such as HMD built-in head and hands tracking, EEG sensor, video recording, and other measurable parameters in addition to automated analysis of subjective data provided in questionnaires. For this purpose, a simple VR application was created which comprised relatively easy tasks that did not generate stress for the users. Fourteen volunteers took part in the study and their signals were monitored to acquire objective automated data. At the same time the observer was taking notes of subjects’ behaviour, and their subjective opinions about the experience were recorded in a post-experiment questionnaire. The results acquired from signal monitoring and questionnaires were juxtaposed with observation and post-interview results to confirm the validity and efficacy of automated usability testing. The results were very promising, proving that automated usability testing of VR applications is potentially achievable. © 2022 by the authors. Licensee MDPI, Basel, Switzerland.</t>
  </si>
  <si>
    <t>UX; virtual reality; Virtual Reality; Humans; Usability engineering; automation; Automation; human; Usability; Virtual reality; Pilot studies; Pilot Projects; pilot study; computer interface; User-Computer Interface; Usability testing; Human computer interaction; Human-computer interaction; Surveys; User-Centered Design; Automated analysis; Automated data; Data driven; Head and hands tracking; Measurable parameters; Simple++; Subjective testing; Testing; Validation; Video recording; VR applications</t>
  </si>
  <si>
    <t>GMIG97KL</t>
  </si>
  <si>
    <t>Kim, H.; Woo, J.; Hyun, K.H.</t>
  </si>
  <si>
    <t>PlicAR: Enhancing Online Product Evaluation and Shopping Experience through an Augmented Reality Based 3D Model Visualization Service</t>
  </si>
  <si>
    <t>Archives of Design Research</t>
  </si>
  <si>
    <t>12268046 (ISSN)</t>
  </si>
  <si>
    <t>10.15187/adr.2022.08.35.3.181</t>
  </si>
  <si>
    <t>https://www.scopus.com/inward/record.uri?eid=2-s2.0-85137289301&amp;doi=10.15187%2fadr.2022.08.35.3.181&amp;partnerID=40&amp;md5=2c036487c8d22c22c0b6a8b574856dc3</t>
  </si>
  <si>
    <t>Background The online commerce (E-commerce) market has been growing steadily every year due to the convenience of allowing customers to purchase products without going to a brick-and mortar store. However, customers still visit offline stores to check the actual size, shape, and details of the product. In this context, augmented reality (AR) commerce using augmented reality technology is emerging as a new alternative to online and offline stores. Through several studies, AR commerce has been found to have a positive effect on the purchasing decision process of customers. However, few attempts have been conducted to understand the experience of using AR commerce services from the point of view of users, not customers. Therefore, this study finds user experience (UX) factors that AR commerce should consider supporting clear delivery of product information and users' universal shopping experience and suggests a method for improving them. Methods We collected participant opinions on AR commerce services through an online survey (sample size = 100) as a preliminary study to investigate the essential UX design components for AR commerce services. By extracting meaningful words and analyzing the word list from the participants’responses, we identified ‘3D model quality and ‘accessibility’as the essential UX components. In this respect, we developed PlicAR to enhance the AR commerce experience. Finally, an extensive online survey (sample size = 400) was conducted. It was confirmed that the experience of using PlicAR improved when compared to the existing AR commerce service. Results By comparing PlicAR and IKEA Place through the comparative experiment, ‘3D model quality’and ‘system accessibility’were revealed as unique advantages of PlicAR. From the results, it was confirmed that the improved 3D model quality and system accessibility enhanced the AR commerce experience. Conclusions In order to provide AR content, high-quality 3D model production is a prerequisite for an improved AR commerce experience. However, 3D model production requires time and resources. For this reason, such tasks can only be conducted by largely capitalized corporates. In this respect, we propose a PlicAR with a 3D model reconstruction method using neural rendering and web-based accessibility. The two key features of PlicAR allow small and medium-sized third party sellers to create and provide AR content to promote their products directly. © This is an Open Access article distributed under the terms of the Creative Commons Attribution Non-Commercial License (http://creativecommons. org/licenses/by nc/3.0/), which permits unrestricted educational and non-commercial use, provided the original work is properly cited</t>
  </si>
  <si>
    <t>181-195</t>
  </si>
  <si>
    <t>Arch. Des. Res.</t>
  </si>
  <si>
    <t>PlicAR: 증강현실 기반 3D 모형 구축 기술을 통한 온라인 쇼핑 경험 증진</t>
  </si>
  <si>
    <t>Publisher: Korean Society of Design Science</t>
  </si>
  <si>
    <t>Ar commerce design; Automatic 3d model reconstruction; Online marketplace; Ux design</t>
  </si>
  <si>
    <t>L2DXFNY6</t>
  </si>
  <si>
    <t>Ariano, R.; Manca, M.; Paternò, F.; Santoro, C.</t>
  </si>
  <si>
    <t>Smartphone-based augmented reality for end-user creation of home automations</t>
  </si>
  <si>
    <t>Behaviour and Information Technology</t>
  </si>
  <si>
    <t>0144929X (ISSN)</t>
  </si>
  <si>
    <t>10.1080/0144929X.2021.2017482</t>
  </si>
  <si>
    <t>https://www.scopus.com/inward/record.uri?eid=2-s2.0-85122650527&amp;doi=10.1080%2f0144929X.2021.2017482&amp;partnerID=40&amp;md5=f135cc2aee5c551306d803cd45074788</t>
  </si>
  <si>
    <t>In the last few years, several end-user tools have been designed to help people who are not professional developers in programming their smart environments. However, such tools are often based on structured visual editors providing abstract representations of the available connected sensors and objects, which can be problematic for end users, and do not particularly encourage their participation. This work aims to make the end-user experience of creating everyday automations involving various types of connected sensors and objects more engaging by replacing extensive, static, structured and comprehensive abstract visual tools with more narrowed, relevant, context-sensitive, dynamic, augmented reality-based representations. We present a solution for this purpose that mobile users can exploit through their smartphone. End users can use the smartphone camera to frame the relevant sensor or object through the developed prototype, then get the current automations associated with it, edit their definition, create new ones as well as monitor the automations involving the whole current environment. We also report a first user test of the developed prototype deployed in a home equipped with connected sensors and objects, which yielded positive feedback. © 2022 Informa UK Limited, trading as Taylor &amp; Francis Group.</t>
  </si>
  <si>
    <t>124-140</t>
  </si>
  <si>
    <t>Behav Inf Technol</t>
  </si>
  <si>
    <t>Smart phones; Automation; Augmented reality; User interfaces; 'current; Smart homes; Feedback; Abstract representation; End-user development; End-User Development; End-users; everyday automation; Everyday automation; Home automation; Smart environment; smart home; Smartphones; Visual editors</t>
  </si>
  <si>
    <t>M3AJ28A9</t>
  </si>
  <si>
    <t>Lee, H.; Kim, J.; Son, J.-Y.; Kim, I.; Noh, J.; Yoon, Y.-J.; Yoon, M.</t>
  </si>
  <si>
    <t>Evaluation of eye response using a wearable display with automatic interpupillary distance adjustment</t>
  </si>
  <si>
    <t>Optics Express</t>
  </si>
  <si>
    <t>10944087 (ISSN)</t>
  </si>
  <si>
    <t>10.1364/OE.453080</t>
  </si>
  <si>
    <t>https://www.scopus.com/inward/record.uri?eid=2-s2.0-85125481492&amp;doi=10.1364%2fOE.453080&amp;partnerID=40&amp;md5=85719f861d3754ec6fbaf26e77446898</t>
  </si>
  <si>
    <t>In this study, we introduce a design for a near-eye, wearable display (HMD: head mounted display) that can automatically control the user’s interpupillary distance (IPD). In addition, we demonstrate a test-bed module for the wearable AR display based on proposed design. Both the adjustment accuracy and the viewing effect through distance matching between the user’s eyes are evaluated by the user’s experience in actual wearing of the module. We demonstrate that the distance between the left and right eye pupils can be measured and adjusted using a set of IR camera sensors and a micro-actuator module that we proposed. A half-mirror unit to be mechanically controlled for each eye is designed to combine the image displayed from the projector and an image taken by the IR camera, leading to fine adjustment of the user’s IPD. A set of images taken by the IR camera sensors is image-processed in real time to determine each pupil’s position with high accuracy under infrared light illumination. Based on the measured information, a micro-actuator module we fabricated for the test bed can automatically adjust the binocular distance to fit each viewer’s IPD. The maximum movement distance of each micro-actuator motor is ±10 mm with precision control of at least 0.5 mm. It takes about 18 seconds to calculate the user’s IPD from two IR photographs and then to accurately adjust the actual binocular distance of the module that the participant wears. Using the demonstrated test bed, a total of 50 subjects participated to confirm the accuracy in the automatic IPD adjustment with an error of 0.25% as well as the improvement of the displayed image quality and 3D immersive experience. © 2022 Optica Publishing Group under the terms of the Optica Open Access Publishing Agreement.</t>
  </si>
  <si>
    <t>8151-8164</t>
  </si>
  <si>
    <t>Opt. Express</t>
  </si>
  <si>
    <t>Publisher: The Optical Society</t>
  </si>
  <si>
    <t>Humans; Pupil; human; Helmet mounted displays; physiology; Lighting; Actuators; Adjustment accuracies; AR display; Binoculars; Camera sensor; Cameras; electronic device; Equipment testing; Fine adjustments; Half mirror; Head-mounted-displays; illumination; Image enhancement; IR camera; Matchings; Microoptics; Photic Stimulation; photostimulation; pupil; Test bed; Wearable displays; Wearable Electronic Devices</t>
  </si>
  <si>
    <t>PM5E8JNH</t>
  </si>
  <si>
    <t>Zhang, Y.; Yin, X.</t>
  </si>
  <si>
    <t>Design of Remote Control System for Smart Home Based on Unity and the Internet of Thing</t>
  </si>
  <si>
    <t>J. Phys. Conf. Ser.</t>
  </si>
  <si>
    <t>17426588 (ISSN)</t>
  </si>
  <si>
    <t>10.1088/1742-6596/1744/2/022099</t>
  </si>
  <si>
    <t>https://www.scopus.com/inward/record.uri?eid=2-s2.0-85102176423&amp;doi=10.1088%2f1742-6596%2f1744%2f2%2f022099&amp;partnerID=40&amp;md5=bcb7be05d9381c3ce2dce13c8d261fd6</t>
  </si>
  <si>
    <t>In view of the problems of unintuitive operation and poor user experience in the human-computer interaction of smart homes, the article proposes the application of virtual reality technology on the basis of relevant theoretical analysis, based on unity development platform and smart home control center, a smart home control system based on virtual reality technology is designed and developed. The system is composed of client, cloud and device. The client realizes virtual roaming, real-time display of device status and remote control. The cloud realizes the functions of control command forwarding and data storage. The gateway is used to communicate with each home device and cloud to realize the functions of sending control commands and reporting device status data. The test shows that the system is novel and practical. Using virtual reality technology as a human-computer interaction interface for smart home control can give users an intuitive smart home control experience and improve the user's experience. © Published under licence by IOP Publishing Ltd.</t>
  </si>
  <si>
    <t>IOP Publishing Ltd</t>
  </si>
  <si>
    <t>Issue: 2 Journal Abbreviation: J. Phys. Conf. Ser.</t>
  </si>
  <si>
    <t>Automation; Virtual reality technology; Virtual reality; Digital storage; Virtual Reality Technology; User experience; Human computer interaction; Intelligent buildings; Human-Computer Interaction; Internet of things; Display devices; 3ds Max; Ambient intelligence; Computer control systems; Control center; Control command; Development platform; Device status; Gateways (computer networks); Human computer interaction interface; Real time display; Remote control; Remote Control; Smart Home; The Internet Of Thing; Unity; Virtual roaming; Web</t>
  </si>
  <si>
    <t>Journal of Physics: Conference Series</t>
  </si>
  <si>
    <t>HFBQQPIG</t>
  </si>
  <si>
    <t>Voinescu, A.; Morgan, P.L.; Alford, C.; Caleb-Solly, P.</t>
  </si>
  <si>
    <t>The utility of psychological measures in evaluating perceived usability of automated vehicle interfaces – A study with older adults</t>
  </si>
  <si>
    <t>Transportation Research Part F: Traffic Psychology and Behaviour</t>
  </si>
  <si>
    <t>13698478 (ISSN)</t>
  </si>
  <si>
    <t>10.1016/j.trf.2020.05.003</t>
  </si>
  <si>
    <t>https://www.scopus.com/inward/record.uri?eid=2-s2.0-85087201427&amp;doi=10.1016%2fj.trf.2020.05.003&amp;partnerID=40&amp;md5=c3d67184961dc603946c377ac3796e0e</t>
  </si>
  <si>
    <t>The design of the traditional vehicle human-machine interfaces (HMIs) is undergoing major change as we move towards fully connected and automated vehicles (CAVs). Given the diversity of user requirements and preferences, it is vital for designers to gain a deeper understanding of any underlying factors that could impact usability. The current study employs a range of carefully selected psychological measures to investigate the relationship with self-report usability of an in-CAV HMI integrated into a fully automated Level 5 simulator, during simulated journeys. Twenty-five older adults (65-years+) participated and were exposed to four journeys in a virtual reality fully automated CAV simulator (with video recorded journeys) into which our HMI was integrated. Participants completed a range of scales and questionnaires, as well as computerized cognitive tests. Key measures were: perceived usability of the HMI, cognitive performance, personality, attitudes towards computers, trust in technology, simulator sickness, presence and emotion. HMI perceived usability correlated positively with cognitive performance (e.g., working memory) and some individual characteristics such as trust in technology and negatively with neuroticism anxiety. Simulator sickness was associated negatively with CAV HMI perceived usability. Positive emotions correlated positively with reported usability across all four journeys, while negative emotions were negatively associated with usability only in the case of the last two journeys. Increased sense of presence in the virtual CAV simulator was not associated with usability. Implications for design are critically discussed. Our research is highly relevant in the design of high-fully automated vehicle HMIs, particularly for older adults, and in informing policy-makers and automated mobility providers of how to improve older people's uptake of this technology. © 2020 Elsevier Ltd</t>
  </si>
  <si>
    <t>244-263</t>
  </si>
  <si>
    <t>Transp. Res. Part F Traffic Psychol. Behav.</t>
  </si>
  <si>
    <t>Usability engineering; Diseases; Automation; Usability; Virtual reality; Behavioral research; Sense of presences; Human Machine Interface; Vehicles; Surveys; Simulators; Individual differences; Cognitive performance; Connected automated vehicles; Fully automated driverless cars; Human machine interface; Individual characteristics; Older adults; Perceived usability; Simulator sickness; Trust in technologies; Underlying factors</t>
  </si>
  <si>
    <t>EHF2E88A</t>
  </si>
  <si>
    <t>Ojer, M.; Alvarez, H.; Serrano, I.; Saiz, F.A.; Barandiaran, I.; Aguinaga, D.; Querejeta, L.; Alejandro, D.</t>
  </si>
  <si>
    <t>Projection-based augmented reality assistance for manual electronic component assembly processes</t>
  </si>
  <si>
    <t>10.3390/app10030796</t>
  </si>
  <si>
    <t>https://www.scopus.com/inward/record.uri?eid=2-s2.0-85081598889&amp;doi=10.3390%2fapp10030796&amp;partnerID=40&amp;md5=1a42ba673e25aa2d382e9933900e1c8f</t>
  </si>
  <si>
    <t>Personalized production is moving the progress of industrial automation forward, and demanding new tools for improving the decision-making of the operators. This paper presents a new, projection-based augmented reality system for assisting operators during electronic component assembly processes. The paper describes both the hardware and software solutions, and depicts the results obtained during a usability test with the new system. © 2020 by the authors.</t>
  </si>
  <si>
    <t>Augmented reality; Computer vision; Projection mapping</t>
  </si>
  <si>
    <t>ZZXRBB9F</t>
  </si>
  <si>
    <t>Jaensch, F.; Kübler, K.; Schwarz, E.; Verl, A.</t>
  </si>
  <si>
    <t>Test-Driven Reward Function for Reinforcement Learning: A Contribution towards Applicable Machine Learning Algorithms for Production Systems</t>
  </si>
  <si>
    <t>10.1016/j.procir.2022.09.043</t>
  </si>
  <si>
    <t>https://www.scopus.com/inward/record.uri?eid=2-s2.0-85142648292&amp;doi=10.1016%2fj.procir.2022.09.043&amp;partnerID=40&amp;md5=3bb225ad01dffe01ed3e7bb766a7e4e5</t>
  </si>
  <si>
    <t>Reinforcement Learning algorithms find more and more application in fields where complex tasks need to be solved. The automation of production systems is one of those fields. Normally, programming a control system defines the automation strategy. Previous contributions by the authors have shown that a so-called agent can learn automation strategies for production systems using a Reinforcement Learning setup. However, the development of the reward function for the agent can be challenging and needs Reinforcement Learning domain knowledge. This paper introduces a novel approach in combining Test-Driven Development with Reinforcement Learning in order to solve the problem of a suitable reward function. In the presented approach predefined test cases are used to derive rewards for the agent. The use of an automated test framework allows for continuous learning sequences until all test cases are passed. An application example of a robot cell is used to demonstrate the novel approach and verify its suitability and usability. The first application shows promising results for further examination towards more application scenarios. © 2022 The Author(s).</t>
  </si>
  <si>
    <t>103-108</t>
  </si>
  <si>
    <t>Automation; Virtual reality; E-learning; Learning algorithms; Testing; Domain Knowledge; In-field; Machine learning algorithms; Production system; Reinforcement learning; Reinforcement Learning; Reinforcement learning algorithms; Reinforcement learnings; Reward function; Test case; Test driven development; Test-Driven Development; Virtual commissioning; Virtual commissioning simulation; Virtual Commissioning Simulation</t>
  </si>
  <si>
    <t>Teti R.; D'Addona D.</t>
  </si>
  <si>
    <t>7E3Z6AXB</t>
  </si>
  <si>
    <t>de Geus, K.; Beê, R.T.; Corrêa, V.M.; dos Santos, R.C.R.; de Faria, A.P.; Sato, E.M.; Swinka-Filho, V.; Miquelin, A.F.; Scheer, S.; Siqueira, P.H.; Godoi, W.C.; Rosendo, M.; Gruber, Y.</t>
  </si>
  <si>
    <t>Immersive serious game-style virtual environment for training in electrical live line maintenance activities</t>
  </si>
  <si>
    <t>CSEDU - Proc. Int. Conf. Comput. Support. Educ.</t>
  </si>
  <si>
    <t>978-989758417-6 (ISBN)</t>
  </si>
  <si>
    <t>https://www.scopus.com/inward/record.uri?eid=2-s2.0-85091785630&amp;partnerID=40&amp;md5=2e6163439f8326fdc0d7009a56b4594e</t>
  </si>
  <si>
    <t>This paper describes a virtual environment solution for the training of electricians in critical activities, namely, live-line maintenance, in electrical energy substations. The main concept of the virtual environment is the mapping between virtual reality technology and gamification methods with learning theories, in particular, Gagné’s cognitive model. In order to explore the benefits of gamification, the system uses concepts established by the Flow Theory, the Magic Circle concept as well as the Player Experience of Need Satisfaction (PENS) theory. User Experience (UX) is used to assess how the system is perceived by the user. Non-player characters are modelled to assist the trainee in the learning process. However, they may use misleading information in order to induce the trainee to make mistakes and thus provide a means of exercising decision making in adverse conditions, which is an important stage in the learning process, especially in the context of critical activities. Additionally, an automatic feedback system based on the visualization of error patterns highlights not only the mistakes made in the virtual experience, but also the strategy for solving the proposed problem. Tests were carried out aiming at measuring several aspects, ranging from usability, perception of benefits and learning effectiveness. A trainee classification process is proposed based on the analysis of human error patterns during the execution of a task. The modelling of knowledge is based on the literature on human reliability and results from the application of tools such as task analysis and knowledge extraction from expert users when interacting with the system (expert elicitation). Clustering techniques applied to error patterns allows for the identification of prototypes of performance classes and their visualization in the form of distinct groups. Results of different assessment processes, based on the view of potential users, are presented, analysed and discussed. Future work includes the conclusion of the automatic evaluation process, based on the analysis and visualization of human error. Copyright © 2020 by SCITEPRESS – Science and Technology Publications, Lda. All rights reserved.</t>
  </si>
  <si>
    <t>42-53</t>
  </si>
  <si>
    <t>SciTePress</t>
  </si>
  <si>
    <t>Journal Abbreviation: CSEDU - Proc. Int. Conf. Comput. Support. Educ.</t>
  </si>
  <si>
    <t>Virtual Reality; Virtual reality technology; Serious games; Virtual reality; Visualization; E-learning; Learning systems; User experience; Errors; Decision making; Reliability analysis; Gamification; Classification process; Clustering techniques; Critical Activities; Electrical Energy Maintenance; Gagné’s Learning Model; Job analysis; Knowledge extraction; Learning effectiveness; Learning Theories; Live-line maintenances; Misleading informations; User experiences (ux)</t>
  </si>
  <si>
    <t>Lane H.C.; Zvacek S.; Uhomoibhi J.</t>
  </si>
  <si>
    <t>CSEDU 2020 - Proceedings of the 12th International Conference on Computer Supported Education</t>
  </si>
  <si>
    <t>23XJEEV4</t>
  </si>
  <si>
    <t>Apraiz Iriarte, A.; Lasa Erle, G.; Serrano Muñoz, A.; Elguea Aguinaco, Í.; Arana Arexolaleiba, N.</t>
  </si>
  <si>
    <t>EVALUATION OF THE USER EXPERIENCE OF AN INDUSTRIAL ROBOTIC ENVIRONMENT IN VIRTUAL REALITY</t>
  </si>
  <si>
    <t>Proc. Int. Congr. Proj. Manag. Eng.</t>
  </si>
  <si>
    <t>26955067 (ISSN); 978-840944521-9 (ISBN)</t>
  </si>
  <si>
    <t>https://www.scopus.com/inward/record.uri?eid=2-s2.0-85150344654&amp;partnerID=40&amp;md5=386cef55407747a7c1cc769e6e219485</t>
  </si>
  <si>
    <t>Industry 4.0 is leading to a whole new level of process automation, thus redefining the role of humans, and altering existing jobs in yet unknown ways. Although the number of robots in the manufacturing industry has been steadily increasing for several decades, the current growth trend is remarkable given the number and variety of industries using robots. Operators need to have positive and fit-for-purpose experiences through trust-based, smooth, safe, and satisfying interaction to integrate robots as a natural part of their daily lives. In this sense, virtual reality is presented as an optimal technology to evaluate this interaction while ensuring safe conditions, but the impact it has on human factors still has unknowns to be solved. This research paper presents an evaluation study of the human factors resulting from collaboration with an industrial robot in a virtual environment taking into account the gender perspective. For this purpose, the behaviour of the users (n=8) has been analysed and the interaction has been evaluated by means of two questionnaires to correlate task performance and subjective perception. © 2022 by the authors. Licensee AEIPRO, Spain. This article is licensed under a Creative Commons Attribution-NonCommercial-NoDerivatives 4.0 International License (https://creativecommons.org/licenses/by-ncnd/4.0/)</t>
  </si>
  <si>
    <t>1686-1698</t>
  </si>
  <si>
    <t>2022-July</t>
  </si>
  <si>
    <t>EVALUACIÓN DE LA EXPERIENCIA DE USO DE UN ENTORNO ROBÓTICO INDUSTRIAL EN REALIDAD VIRTUAL</t>
  </si>
  <si>
    <t>Asociacion Espanola de Direccion e Ingenieria de Proyectos (AEIPRO)</t>
  </si>
  <si>
    <t>Spanish</t>
  </si>
  <si>
    <t>Journal Abbreviation: Proc. Int. Congr. Proj. Manag. Eng.</t>
  </si>
  <si>
    <t>Human Factors; Human-Robot Interaction (HRI); Interaction; User eXperience (UX); Virtual Reality (VR)</t>
  </si>
  <si>
    <t>Proceedings from the International Congress on Project Management and Engineering</t>
  </si>
  <si>
    <t>QA5XCPU3</t>
  </si>
  <si>
    <t>Detjen, H.; Salini, M.; Kronenberger, J.; Geisler, S.; Schneegass, S.</t>
  </si>
  <si>
    <t>Towards Transparent Behavior of Automated Vehicles: Design and Evaluation of HUD Concepts to Support System Predictability through Motion Intent Communication</t>
  </si>
  <si>
    <t>Proc. MobileHCI - ACM Int. Conf. Mob. Hum.-Comput. Interact.: Mob. Apart, Mob.Together</t>
  </si>
  <si>
    <t>978-145038328-8 (ISBN)</t>
  </si>
  <si>
    <t>10.1145/3447526.3472041</t>
  </si>
  <si>
    <t>https://www.scopus.com/inward/record.uri?eid=2-s2.0-85117354203&amp;doi=10.1145%2f3447526.3472041&amp;partnerID=40&amp;md5=8d50280a889b09be20fab07e138c95eb</t>
  </si>
  <si>
    <t>In automated vehicles, it is essential to feedforward motion intentions to users so that they understand the vehicle's actions. Otherwise, non-transparency limits situation awareness and leads to mistrust. In this work, we are communicating the vehicle's actions to the user either by displaying icons (planar HUD) or through augmented reality (contact-analog HUD) to increase transparency. We developed both concepts in a user-centered design process. Further, we evaluated them in two subsequent user studies (N = 27). In the first study, we focused on UX and trust in higher automation levels (cf. SAE level 3-5). In the second study, we focused on safety and error prevention in lower automation levels (cf. SAE levels 1-2). Our results show that both visualizations increase UX and trust in an automated system. Nevertheless, the AR approach outperforms the icon-based approach by achieving higher user experience as well as faster and less error-prone take-overs of participants.  © 2021 ACM.</t>
  </si>
  <si>
    <t>Journal Abbreviation: Proc. MobileHCI - ACM Int. Conf. Mob. Hum.-Comput. Interact.: Mob. Apart, Mob.Together</t>
  </si>
  <si>
    <t>UX; Augmented Reality; Augmented reality; Autonomous driving; Automated vehicles; Autonomous vehicles; User centered design; Head-UpDisplay; Heads-up-display; Situation awareness; Automated Vehicles; Situation Awareness; Safety; Automation levels; Autonomous Driving; Head-up Displays; Intention communication; Intention Communication; Transparency; Trust; Vehicle design; Virtual windshield; Virtual Windshields</t>
  </si>
  <si>
    <t>Proceedings of MobileHCI 2021 - ACM International Conference on Mobile Human-Computer Interaction: Mobile Apart, MobileTogether</t>
  </si>
  <si>
    <t>USWYWB3F</t>
  </si>
  <si>
    <t>Ochs, M.; Bousquet, J.; Pergandi, J.-M.; Blache, P.</t>
  </si>
  <si>
    <t>Multimodal Behavioral Cues Analysis of the Sense of Presence and Social Presence During a Social Interaction With a Virtual Patient</t>
  </si>
  <si>
    <t>Frontiers in Computer Science</t>
  </si>
  <si>
    <t>26249898 (ISSN)</t>
  </si>
  <si>
    <t>10.3389/fcomp.2022.746804</t>
  </si>
  <si>
    <t>https://www.scopus.com/inward/record.uri?eid=2-s2.0-85129252251&amp;doi=10.3389%2ffcomp.2022.746804&amp;partnerID=40&amp;md5=aff36d61d74646ec42390b745651075b</t>
  </si>
  <si>
    <t>User's experience evaluation is a key challenge when studying human-agent interaction. Besides user's satisfaction, this question is addressed in virtual reality through the sense of presence and social presence, generally assessed thanks to subjective post-experience questionnaires. We propose in this article a novel approach making it possible to evaluate automatically these notions by correlating objective multimodal cues produced by users to their subjective sense of presence and social presence. This study is based on a multimodal human-agent interaction corpus collected in a task-oriented context: a virtual environment aiming at training doctors to break bad news to a patient played by a virtual agent. Based on a corpus study, we applied machine learning approaches to build a model predicting the user's sense of presence and social presence thanks to specific multimodal behavioral cues. We explore different classification algorithms and machine learning techniques (oversampling and clustering) to cope with the dimensionality of the dataset and to optimize the prediction performance. We obtain models to automatically and accurately predict the level of presence and social presence. The results highlight the relevance of a multimodal model, based both on verbal and non-verbal cues as objective measures of (social) presence. The main contribution of the article is two-fold: 1/ proposing the first presence and social prediction presence models offering a way to automatically provide a user's experience evaluation and 2/ showing the importance of multimodal information for describing these notions. Copyright © 2022 Ochs, Bousquet, Pergandi and Blache.</t>
  </si>
  <si>
    <t>Frontier. Comput. Sci.</t>
  </si>
  <si>
    <t>virtual reality; conversational agent; multimodal social signals; sense of presence; virtual patient</t>
  </si>
  <si>
    <t>I7PUUBZN</t>
  </si>
  <si>
    <t>François, T.; Calvet, L.; Madad Zadeh, S.; Saboul, D.; Gasparini, S.; Samarakoon, P.; Bourdel, N.; Bartoli, A.</t>
  </si>
  <si>
    <t>Detecting the occluding contours of the uterus to automatise augmented laparoscopy: score, loss, dataset, evaluation and user study</t>
  </si>
  <si>
    <t>International Journal of Computer Assisted Radiology and Surgery</t>
  </si>
  <si>
    <t>18616410 (ISSN)</t>
  </si>
  <si>
    <t>10.1007/s11548-020-02151-w</t>
  </si>
  <si>
    <t>https://www.scopus.com/inward/record.uri?eid=2-s2.0-85085130510&amp;doi=10.1007%2fs11548-020-02151-w&amp;partnerID=40&amp;md5=e9f74a74ed2693d21f3508eb2bb54ee5</t>
  </si>
  <si>
    <t>Purpose: The registration of a preoperative 3D model, reconstructed, for example, from MRI, to intraoperative laparoscopy 2D images, is the main challenge to achieve augmented reality in laparoscopy. The current systems have a major limitation: they require that the surgeon manually marks the occluding contours during surgery. This requires the surgeon to fully comprehend the non-trivial concept of occluding contours and surgeon time, directly impacting acceptance and usability. To overcome this limitation, we propose a complete framework for object-class occluding contour detection (OC2D), with application to uterus surgery. Methods: Our first contribution is a new distance-based evaluation score complying with all the relevant performance criteria. Our second contribution is a loss function combining cross-entropy and two new penalties designed to boost 1-pixel thickness responses. This allows us to train a U-Net end to end, outperforming all competing methods, which tends to produce thick responses. Our third contribution is a dataset of 3818 carefully labelled laparoscopy images of the uterus, which was used to train and evaluate our detector. Results: Evaluation shows that the proposed detector has a similar false false-negative rate to existing methods but substantially reduces both false-positive rate and response thickness. Finally, we ran a user study to evaluate the impact of OC2D against manually marked occluding contours in augmented laparoscopy. We used 10 recorded gynecologic laparoscopies and involved 5 surgeons. Using OC2D led to a reduction of 3 min and 53 s in surgeon time without sacrificing registration accuracy. Conclusions: We provide a new set of criteria and a distance-based measure to evaluate an OC2D method. We propose an OC2D method which outperforms the state-of-the-art methods. The results obtained from the user study indicate that fully automatic augmented laparoscopy is feasible. © 2020, CARS.</t>
  </si>
  <si>
    <t>1177-1186</t>
  </si>
  <si>
    <t>Int. J. Comput. Assisted Radiol. Surg.</t>
  </si>
  <si>
    <t>Augmented Reality; Female; Humans; human; procedures; augmented reality; Augmented reality; female; deep learning; Deep learning; article; edge detection; Convolutional neural network; Magnetic Resonance Imaging; nuclear magnetic resonance imaging; Deep Learning; surgery; convolutional neural network; Distance-based score; Edge detection; Edge detector evaluation; entropy; gynecologic surgery; Gynecologic Surgical Procedures; laparoscopy; Laparoscopy; loss of function mutation; punishment; surgeon; thickness; uterus; Uterus; uterus surgery</t>
  </si>
  <si>
    <t>XKYQTQNF</t>
  </si>
  <si>
    <t>Tinga, A.M.; van Zeumeren, I.M.; Christoph, M.; van Grondelle, E.; Cleij, D.; Aldea, A.; van Nes, N.</t>
  </si>
  <si>
    <t>Development and evaluation of a human machine interface to support mode awareness in different automated driving modes</t>
  </si>
  <si>
    <t>10.1016/j.trf.2022.10.023</t>
  </si>
  <si>
    <t>https://www.scopus.com/inward/record.uri?eid=2-s2.0-85143629397&amp;doi=10.1016%2fj.trf.2022.10.023&amp;partnerID=40&amp;md5=07c76294355ec9c8de3146230efbde95</t>
  </si>
  <si>
    <t>With increasing implementation of automated driving technology it is expected that different automation modes will be present within the same vehicle and within a single trip. At all times during automated driving the driver needs to have ‘mode awareness’, which is an understanding of the automation mode and the corresponding responsibilities. Yet, research on HMI design to support mode awareness for multiple automation modes within a single vehicle and within a single trip is currently limited. The current work describes the development and evaluation of a Human Machine Interface (HMI) to support mode awareness while driving in different automation modes. The work exists of three phases: Phase 1 defines functional requirements for HMI design based on literature review and 5 experimental studies including 146 participants. Phase 2 implements the functional requirements in HMI design through expert and focus group sessions. Phase 3 evaluates and improves upon the HMI design employing virtual reality and the RITE (Rapid Iterative Testing and Evaluation) method with 18 participants. The result is a continuous and holistic HMI design creating mode awareness through ambience. Findings from Phase 3 and previous research indicate that this HMI is comprehended well, with a relatively low task load, and with a good experienced system usability. It is important to additionally evaluate the HMI design resulting from the current study in driving simulators and in on-road tests. Such tests will provide an opportunity to verify and expand on the current study's findings and to contribute to guidelines for HMI design. © 2022</t>
  </si>
  <si>
    <t>238-254</t>
  </si>
  <si>
    <t>Automation; Virtual reality; Man machine systems; 'current; Automated driving; Iterative methods; Human Machine Interface; Vehicles; HMI; Holistic design; Human factor in vehicle automation; Human factors in vehicle automation; Human-machine interface design; In-vehicle automation; Mode awareness; Rapid iterative testing and evaluation; Testing and evaluation</t>
  </si>
  <si>
    <t>WCHH6ISS</t>
  </si>
  <si>
    <t>Schneider, C.; Thompson, S.; Totz, J.; Song, Y.; Allam, M.; Sodergren, M.H.; Desjardins, A.E.; Barratt, D.; Ourselin, S.; Gurusamy, K.; Stoyanov, D.; Clarkson, M.J.; Hawkes, D.J.; Davidson, B.R.</t>
  </si>
  <si>
    <t>Comparison of manual and semi-automatic registration in augmented reality image-guided liver surgery: a clinical feasibility study</t>
  </si>
  <si>
    <t>Surgical Endoscopy</t>
  </si>
  <si>
    <t>09302794 (ISSN)</t>
  </si>
  <si>
    <t>10.1007/s00464-020-07807-x</t>
  </si>
  <si>
    <t>https://www.scopus.com/inward/record.uri?eid=2-s2.0-85089254410&amp;doi=10.1007%2fs00464-020-07807-x&amp;partnerID=40&amp;md5=98daeef8a9bc1792092ce44ba020eb45</t>
  </si>
  <si>
    <t>Background: The laparoscopic approach to liver resection may reduce morbidity and hospital stay. However, uptake has been slow due to concerns about patient safety and oncological radicality. Image guidance systems may improve patient safety by enabling 3D visualisation of critical intra- and extrahepatic structures. Current systems suffer from non-intuitive visualisation and a complicated setup process. A novel image guidance system (SmartLiver), offering augmented reality visualisation and semi-automatic registration has been developed to address these issues. A clinical feasibility study evaluated the performance and usability of SmartLiver with either manual or semi-automatic registration. Methods: Intraoperative image guidance data were recorded and analysed in patients undergoing laparoscopic liver resection or cancer staging. Stereoscopic surface reconstruction and iterative closest point matching facilitated semi-automatic registration. The primary endpoint was defined as successful registration as determined by the operating surgeon. Secondary endpoints were system usability as assessed by a surgeon questionnaire and comparison of manual vs. semi-automatic registration accuracy. Since SmartLiver is still in development no attempt was made to evaluate its impact on perioperative outcomes. Results: The primary endpoint was achieved in 16 out of 18 patients. Initially semi-automatic registration failed because the IGS could not distinguish the liver surface from surrounding structures. Implementation of a deep learning algorithm enabled the IGS to overcome this issue and facilitate semi-automatic registration. Mean registration accuracy was 10.9 ± 4.2 mm (manual) vs. 13.9 ± 4.4 mm (semi-automatic) (Mean difference − 3 mm; p = 0.158). Surgeon feedback was positive about IGS handling and improved intraoperative orientation but also highlighted the need for a simpler setup process and better integration with laparoscopic ultrasound. Conclusion: The technical feasibility of using SmartLiver intraoperatively has been demonstrated. With further improvements semi-automatic registration may enhance user friendliness and workflow of SmartLiver. Manual and semi-automatic registration accuracy were comparable but evaluation on a larger patient cohort is required to confirm these findings. © 2020, The Author(s).</t>
  </si>
  <si>
    <t>4702-4711</t>
  </si>
  <si>
    <t>Surg. Endosc.</t>
  </si>
  <si>
    <t>Augmented Reality; Adult; Female; Humans; Male; Middle Aged; controlled study; human; procedures; workflow; adult; augmented reality; Augmented reality; female; male; deep learning; article; aged; clinical article; cohort analysis; questionnaire; Surgery, Computer-Assisted; Aged; Feasibility Studies; feasibility study; middle aged; Aged, 80 and over; very elderly; surgery; surgeon; cancer staging; clinical evaluation; computer assisted surgery; Computer-assisted surgery; Image-guided surgery; iterative closest point; Laparoscopic liver surgery; liver; Liver; liver resection; Semi-automatic registration; Stereoscopic surface reconstruction; ultrasound</t>
  </si>
  <si>
    <t>LWA583CU</t>
  </si>
  <si>
    <t>Mittal, V.; Boyce, M.; Pyke, A.; Fuller, P.; Tombrink, A.; Descisciolo, J.; Ciullo, L.</t>
  </si>
  <si>
    <t>The use of simulation to support tactical augmented reality requirement development</t>
  </si>
  <si>
    <t>Simul. Innov. Workshop, SIW</t>
  </si>
  <si>
    <t>https://www.scopus.com/inward/record.uri?eid=2-s2.0-85101969168&amp;partnerID=40&amp;md5=f3a57791222a15d553f3cf0805ad7f3c</t>
  </si>
  <si>
    <t>The Army is developing technology to provide its soldiers with enhanced situational awareness. One such technology, the Augmented Reality for Radio Frequency Visualization (ARFVIS) provides soldiers with the ability to localize a radio signal and display its location on a heads-up display. The ARFVIS system is still in the conceptual phase, such that modeling and simulation provides useful insight into the design requirements. Constructive simulations were developed on the Infantry Warrior Simulation software, an agent-based modeling package, to perform tradespace analysis on the technology and to identify the necessary capabilities. The results from these models supported a set of experiments that placed test subjects in a virtual environment with ARFVIS capabilities. Test subjects wore a Microsoft Hololens in a Computer Assisted Virtual Environment (CAVE). The Hololens interfaced with the CAVE to display a red dot over a non-stationary virtual agent. The tests looked at the change in time required to detect the target associated with the ARFVIS as well as the overall usability of the system. The coupling of the constructive and virtual simulations provides insight into the system's operational and technical requirements. © 2020 Simulation Innovation Workshop.</t>
  </si>
  <si>
    <t>SISO - Simulation Interoperability Standards Organization</t>
  </si>
  <si>
    <t>Journal Abbreviation: Simul. Innov. Workshop, SIW</t>
  </si>
  <si>
    <t>Augmented reality; Head-up displays; Situational awareness; Caves; Human-machine interface; Autonomous agents; Agent-based model; Combat modeling; Computational methods; Model and simulation; Radio frequencies; Requirement development; Simulation software; Tactical cyber; Technical requirement; Virtual simulations</t>
  </si>
  <si>
    <t>2020 Simulation Innovation Workshop, SIW 2020</t>
  </si>
  <si>
    <t>XSS7ZWEE</t>
  </si>
  <si>
    <t>Volonte, M.; Hsu, Y.-C.; Liu, K.-Y.; Mazer, J.P.; Wong, S.-K.; Babu, S.V.</t>
  </si>
  <si>
    <t>Effects of Interacting with a Crowd of Emotional Virtual Humans on Users' Affective and Non-Verbal Behaviors</t>
  </si>
  <si>
    <t>Proc. - IEEE Conf. Virtual Real. 3D User Interfaces, VR</t>
  </si>
  <si>
    <t>978-172815608-8 (ISBN)</t>
  </si>
  <si>
    <t>10.1109/VR46266.2020.1581610451331</t>
  </si>
  <si>
    <t>https://www.scopus.com/inward/record.uri?eid=2-s2.0-85085486856&amp;doi=10.1109%2fVR46266.2020.1581610451331&amp;partnerID=40&amp;md5=d729a519d9df763ee121639af9ef0aff</t>
  </si>
  <si>
    <t>In this contribution we examined the effects on users during interaction with a virtual human crowd in an immersive virtual reality environment. We developed an agent-based crowd model with rich properties including eye gaze, facial expression, body motion, and verbal and non-verbal behaviors. The scenario was a virtual market in which the users needed to gather specific items. In a betweensubjects design, users interacted with a virtual human crowd that showed opposite valenced emotional expressions. There are four conditions in the between-subjects design. These includes different affective virtual crowds namely, Positive, Negative, Neutral, and a Mix condition. The Mix group is defined by a combination of Positive, Negative and Neutral emotional expressive characters. Depending on the specific condition, the virtual humans showed specific verbal and non-verbal behaviors. During the experiment we collected objective measures such as skin electrodermal activity, total time in the simulation, the number of interactions with the agents and performance measures. The subjective measures were the differential emotional survey (DES), and a user experience survey. We reported our findings with an in-depth analysis. © 2020 IEEE.</t>
  </si>
  <si>
    <t>293-302</t>
  </si>
  <si>
    <t>Journal Abbreviation: Proc. - IEEE Conf. Virtual Real. 3D User Interfaces, VR</t>
  </si>
  <si>
    <t>Virtual reality; Immersive virtual reality; User interfaces; Objective measure; Facial Expressions; User experience; Speech; Surveys; Animations; Electrodermal activity; Emotional expressions; Evaluation/methodology; H.5.1 [Information Interfaces and Presentation]: Multimedia Information Systems; I.3.3 [Computer Graphics]: Three-Dimensional Graphics and Realism; In-depth analysis; Nonverbal behavior; Performance measure</t>
  </si>
  <si>
    <t>Proceedings - 2020 IEEE Conference on Virtual Reality and 3D User Interfaces, VR 2020</t>
  </si>
  <si>
    <t>5ZPPC2U5</t>
  </si>
  <si>
    <t>Mauricio, L.; Rubinstein, M.</t>
  </si>
  <si>
    <t>A Network Function Virtualization Architecture for Automatic and Efficient Detection and Mitigation against Web Application Malware</t>
  </si>
  <si>
    <t>Journal of Internet Services and Applications</t>
  </si>
  <si>
    <t>18674828 (ISSN)</t>
  </si>
  <si>
    <t>10.5753/jisa.2023.2847</t>
  </si>
  <si>
    <t>https://www.scopus.com/inward/record.uri?eid=2-s2.0-85148690823&amp;doi=10.5753%2fjisa.2023.2847&amp;partnerID=40&amp;md5=187988e44f6982a79ab96817dbf28f18</t>
  </si>
  <si>
    <t>This paper proposes and implements a Network Function Virtualization (NFV) security architecture to provide automatic and efficient detection and mitigation against Web application malware. The mitigation is given by dynamically chaining a Virtual Security Function (VSF) to the data stream to block malicious exploitation traffic without affecting the benign traffic. We implement an NFV Security Controller (NFV-SC) that interacts with an Intrusion Detection System and a Web Application Firewall (WAF), both implemented as VSFs. We also implement a vulnerability scanner and a mechanism to automatically create rules in advance in the WAF-VSF when a security vulnerability is found in an application, even if no malicious traffic has attempted to exploit the flaw. In addition, it dynamically identifies and removes no longer used security rules to improve performance. We implement and evaluate our security proposal in the Open Platform for NFV (OPNFV). The evaluation results in our experimental scenarios show that the NFV security architecture automatically blocks 99.12% of the HTTP malicious traffic without affecting 93.6% of the benign HTTP requests. Finally, we show that the number of rules in the WAF-VSF severely affects the latency to load HTTP response headers and that the number of redirection OpenFlow rules within Open vSwitches is not enough to significantly impact the end-user experience in modern web browser applications. © 2023, Brazilian Computing Society. All rights reserved.</t>
  </si>
  <si>
    <t>J. Internet Serv. Appl.</t>
  </si>
  <si>
    <t>Virtual reality; Application programs; WEB application; Network security; Automatic Detection; Computer system firewalls; Efficient detection; Function evaluation; HTTP; Intrusion detection; Malware; Malwares; Network function virtualization; Network Function Virtualization; Security; Security functions; Software defined networking; Software-Defined Networking; Software-defined networkings; Transfer functions; Virtual security; Virtualization securities; Web application firewalls</t>
  </si>
  <si>
    <t>MPAAQYNE</t>
  </si>
  <si>
    <t>Riegler, A.; Weigl, K.; Riener, A.; Holzmann, C.</t>
  </si>
  <si>
    <t>StickyWSD: Investigating Content Positioning on a Windshield Display for Automated Driving</t>
  </si>
  <si>
    <t>978-145038870-2 (ISBN)</t>
  </si>
  <si>
    <t>10.1145/3428361.3428405</t>
  </si>
  <si>
    <t>https://www.scopus.com/inward/record.uri?eid=2-s2.0-85097258960&amp;doi=10.1145%2f3428361.3428405&amp;partnerID=40&amp;md5=a00e96b296c46028bf05a22717fff570</t>
  </si>
  <si>
    <t>Windshield displays (WSDs) are a promising new technology to augment the entire windscreen with additional information about vehicle state, highlight critical objects in the surrounding, or use the screen as replacement for a conventional display. Typically, augmentation is provided in a screen-fixed manner as overlay on the windscreen. However, it is unclear to date if this is optimal in terms of usability/UX and further there is no golden standard suggesting where to place and how to manage content on such large displays in a vehicular environment. In this work, we propose "StickyWSD"-a world-fixed positioning strategy-and evaluate its impact on quantitative and qualitative measures compared to screen-fixed positioning. Results from a user study conducted in a virtual reality driving simulator (N = 23) suggest that the dynamic world-fixed positioning technique shows increased task performance and lowered error rates as well as faster take-over times. Subjective evaluations show no clear preferences between both conditions. We propose to display text content on the WSD in world-fixed modality but further studies on context-and content-awareness are required. © 2020 ACM.</t>
  </si>
  <si>
    <t>143-151</t>
  </si>
  <si>
    <t>virtual reality; Virtual reality; augmented reality; Automated driving; Driving simulator; automated driving; Windshield displays; Windshields; user study; Context and content; focus distance; Positioning techniques; Subjective evaluations; Task performance; Vehicular environments; windshield display</t>
  </si>
  <si>
    <t>Cauchard J.; Lochtefeld M.</t>
  </si>
  <si>
    <t>6LGHGHGH</t>
  </si>
  <si>
    <t>Young, K.-Y.; Cheng, S.-L.; Ko, C.-H.; Su, Y.-H.; Liu, Q.-F.</t>
  </si>
  <si>
    <t>A novel teaching and training system for industrial applications based on augmented reality</t>
  </si>
  <si>
    <t>Journal of the Chinese Institute of Engineers, Transactions of the Chinese Institute of Engineers,Series A</t>
  </si>
  <si>
    <t>02533839 (ISSN)</t>
  </si>
  <si>
    <t>10.1080/02533839.2020.1819428</t>
  </si>
  <si>
    <t>https://www.scopus.com/inward/record.uri?eid=2-s2.0-85090957832&amp;doi=10.1080%2f02533839.2020.1819428&amp;partnerID=40&amp;md5=7cd91c6e758c6b7d3bdcc6f221a0320e</t>
  </si>
  <si>
    <t>Along with the high demand on automation, more industrial robot manipulators are being introduced to factories. In addition to their manufacturing, it is also very crucial on the deployment and training of the robots. It thus solicits the development of new types of manipulative devices and methods for tackling these tasks of high complexity. To achieve effective task execution, this paper proposes a novel AR-based teaching and training system, along with several assistive strategies. The technique of augmented reality (AR), which combines virtual objects with real scenes, is used for providing visual immersion. The assistive strategies, including that of collision-free path planning, occlusion effect removal, and visual guidance, are designed to ease the user from the load during the complicated teaching process. We conduct a series of experiments for performance evaluation. Questionnaires based on the system usability scale are also administered to obtain feedback from users. © 2020 The Chinese Institute of Engineers.</t>
  </si>
  <si>
    <t>796-806</t>
  </si>
  <si>
    <t>J Chin Inst Eng Trans Chin Inst Eng Ser A</t>
  </si>
  <si>
    <t>augmented reality; Augmented reality; System usability; Educational robots; Virtual objects; Surveys; assistive strategy; Collision-free path-planning; Industrial manipulators; industrial robot manipulator; Manipulators; Occlusion effect; Robot applications; Robot manipulator; Robots; Task executions; Teaching and training system; Teaching process; Training Systems</t>
  </si>
  <si>
    <t>82C8SK23</t>
  </si>
  <si>
    <t>El Barhoumi, N.; Hajji, R.; Bouali, Z.; Ben Brahim, Y.; Kharroubi, A.</t>
  </si>
  <si>
    <t>Assessment of 3D Models Placement Methods in Augmented Reality</t>
  </si>
  <si>
    <t>10.3390/app122010620</t>
  </si>
  <si>
    <t>https://www.scopus.com/inward/record.uri?eid=2-s2.0-85140448232&amp;doi=10.3390%2fapp122010620&amp;partnerID=40&amp;md5=4f590c6c11b258b85ed8a13a2310310a</t>
  </si>
  <si>
    <t>Augmented reality (AR) is a relevant technology, which has demonstrated to be efficient for several applications, especially in the architecture, engineering, construction and operation (AECO) domain, where the integration of building information modeling (BIM) and AR has proved to be optimal in handling construction projects. However, the main challenge when integrating a virtual 3D model in an AR environment is the lack of precision and accuracy of placement that can occur between the real and the virtual environments. Although methods for placement via AR have been reported in the literature, there is a lack of investigations addressing their evaluation. Therefore, this paper proposes a methodology to perform a quantitative and qualitative assessment of several AR placement methods and a discussion about their usability in the specific context of AECO. We adopt root mean square error (RMSE) to quantify the placement accuracy of a 3D model and standard deviation to examine its stability (jittering). The results revealed that the AR placement error range is extremely wide (from a few centimeters up to meters). In marker-based methods, the results showed centimeter-range in both indoor and outdoor environments, compared to other methods (Inertial, Marker-less, etc.), while marker-less methods have widely varying error range from centimeters to a few meters. Other commercial solutions based on placement-sensors (GNSS and IMU), such as Trimble SiteVision, have proven placement performance in manual mode with centimeter order, while for the automatic mode, the order of placement and stability is metric, due to the low coverage of RTX (real time extended) in the study area. © 2022 by the authors.</t>
  </si>
  <si>
    <t>BIM; augmented reality; accuracy; 3D model; AECO; marker based; marker-less; placement; stability</t>
  </si>
  <si>
    <t>LXUDT4CB</t>
  </si>
  <si>
    <t>Peterson, E.; Bogosian, B.; Tubella, J.; Vassigh, S.</t>
  </si>
  <si>
    <t>Teaching Robotics with Virtual Reality: Developing Curriculum for the 21st Century Workforce</t>
  </si>
  <si>
    <t>23673370 (ISSN); 978-303079999-1 (ISBN)</t>
  </si>
  <si>
    <t>10.1007/978-3-030-80000-0_2</t>
  </si>
  <si>
    <t>https://www.scopus.com/inward/record.uri?eid=2-s2.0-85112671362&amp;doi=10.1007%2f978-3-030-80000-0_2&amp;partnerID=40&amp;md5=886fda9a639a6aab3354f50a726635c6</t>
  </si>
  <si>
    <t>The nature of work is changing. The ongoing shift to automated manufacturing and fabrication in the 21st Century will require a workforce with a radically different set of skills focused less on manual dexterity for the performance of repetitive tasks and more on interaction with robotic systems. It is expected that both Industrial Manufacturing and the Architecture Engineering and Construction (AEC) sector will begin to adopt more automation technology for the production of manufactured goods as well as the design and construction of the built environment. Teaching the fundamental skills required for 21st century workers in the Industrial Manufacturing and AEC sectors may no longer be feasible or efficient using on the job training or apprenticeship as a primary educational modality. Virtual Reality (VR) environments offer a possible solution to train workers in an immersive, interactive, and safe environment where they are less likely to be injured, slow down production, or cause unintentional damage to products or projects in construction. Developing curriculum for these workers requires a modular approach to pedagogy that draws on skills and strategies of game design. Assessment tools for evaluating knowledge and skills acquisition can be structured using a reward system drawn from game design and game theory. Pedagogic sequence can thus be more self-directed as a learner explores their developing knowledge, skills, and mastery of specific tasks. The addition of biometric sensors integrated with the VR Headset promises to add a powerful tool for testing curriculum in real time and providing feedback that can influence the duration, sequence, and progression of a learner’s exploration of the learning environment. In this paper we will describe the development of our own AI-powered VR learning environment for teaching fundamentals of robotics, discuss the curriculum and assessment tools we have developed for in-person workshops and VR environment training, and present our aspirations for the further development of this educational tool. © 2021, The Author(s), under exclusive license to Springer Nature Switzerland AG.</t>
  </si>
  <si>
    <t>Virtual Reality; Machine Learning; Artificial Intelligence; Curriculum; Robotics; Adaptive Learning Systems; Experiential learning theory; Game-based learning; Immersive learning; Interactive learning; Natural Language Processing; Pedagogy; User Experience; User Interface</t>
  </si>
  <si>
    <t>Nazir S.; Ahram T.Z.; Karwowski W.</t>
  </si>
  <si>
    <t>PUJ2HBPT</t>
  </si>
  <si>
    <t>Fiorentino, M.; Laera, F.; Evangelista, A.; Boccaccio, A.; Manghisi, V.M.; Gattullo, M.; Uva, A.E.; Gabbard, J.L.; Foglia, M.M.</t>
  </si>
  <si>
    <t>Sailing data visualization in augmented reality: Systematic review, issues, and perspectives</t>
  </si>
  <si>
    <t>Marine Technology Society Journal</t>
  </si>
  <si>
    <t>00253324 (ISSN)</t>
  </si>
  <si>
    <t>10.4031/MTSJ.55.2.2</t>
  </si>
  <si>
    <t>https://www.scopus.com/inward/record.uri?eid=2-s2.0-85106584357&amp;doi=10.4031%2fMTSJ.55.2.2&amp;partnerID=40&amp;md5=6c77fa3723ae32d56d0a7d6ddb36bcb8</t>
  </si>
  <si>
    <t>Today’s sailing visualization instruments struggle to cope with the increasing number of onboard sensors, automation, artificial intelligence, and the high dy-namism of the crew. Current solutions scatter multiple displays all over the boat, both inside and outside, potentially reducing usability and increasing costs. This work presents a systematic review of augmented reality (AR) as an integral solution for sailing data visualization, which revealed four scientific papers and eight commercial products. We analyzed the publication type, the AR hardware, what and how information is presented using AR, the validation method (if present), and the technological readiness. We defined the technical requirements needed for the AR device for sailing and distinguished a first generation of commercial solutions based on head-up displays from a second one based on proper augmentation with stereo head-mounted displays. The displayed information elements are limited in number and are commonly 2-D graphics (e.g., text and symbols) with a screen-relative frame of reference (as opposed to body-or world-relative). The most visu-alized elements are heading (10) followed by wind direction (8), boat speed (7) compass (7), and wind speed (7). We also found that most of the solutions lack critical evaluation. We conclude that AR has the potential to integrate sailing data from different systems and to improve accessibility, situation awareness, and safety for a large group of users. However, the main limitations are the lack of AR head-mounted displays suitable or adaptable for sailing conditions, an extensive exploration of 3-D interface elements, and an adequate number of usability studies in the scientific literature. © 2021, Marine Technology Society Inc.. All rights reserved.</t>
  </si>
  <si>
    <t>64-80</t>
  </si>
  <si>
    <t>Mar. Technol. Soc. J.</t>
  </si>
  <si>
    <t>Publisher: Marine Technology Society Inc.</t>
  </si>
  <si>
    <t>automation; Augmented reality; Helmet mounted displays; Data visualization; Visualization; artificial intelligence; Artificial intelligence; Head-up displays; Human-computer interaction; Head mounted displays; Technical requirement; Boats; Commercial products; Critical evaluation; Extensive explorations; hardware; Information elements; instrumentation; model validation; Nautical instruments; Sailing; Scientific literature; sensor; visualization; Visualization instrument; Wind; wind direction; wind velocity</t>
  </si>
  <si>
    <t>AIJ7DMEI</t>
  </si>
  <si>
    <t>Bernal, I.F.M.; Lozano-Ramírez, N.E.; Cortés, J.M.P.; Valdivia, S.; Muñoz, R.; Aragón, J.; García, R.; Hernández, G.</t>
  </si>
  <si>
    <t>An Immersive Virtual Reality Training Game for Power Substations Evaluated in Terms of Usability and Engagement</t>
  </si>
  <si>
    <t>10.3390/app12020711</t>
  </si>
  <si>
    <t>https://www.scopus.com/inward/record.uri?eid=2-s2.0-85122867361&amp;doi=10.3390%2fapp12020711&amp;partnerID=40&amp;md5=217097ec4fcc315985b75292ce5a96ef</t>
  </si>
  <si>
    <t>Safety-focused training is essential for the operation and maintenance concentrated on the reliability of critical infrastructures, such as power grids. This paper introduces and evaluates a system for power substation operational training by exploring and interacting with realistic models in virtual worlds using serious games. The virtual reality (VR) simulator used building information modelling (BIM) from a 115 kV substation to develop a scenario with high technical detail suitable for professional training. This system created interactive models that could be explored using a first-person-perspective serious game in a cave automatic virtual environment (CAVE). Different operational missions could be carried out in the serious game, allowing several skills to be coached. The suitability for vocational training carried out by utility companies was evaluated in terms of usability and engagement. The evaluation used a System Usability Scale (SUS) and a Game Engagement Questionnaire (GEQ) filled by 16 power substation operators demonstrating marginally acceptable usability, with improvement opportunities and high acceptance (by utility technicians) of this system for operation training focused on safety in such hazardous tasks. © 2022 by the authors. Licensee MDPI, Basel, Switzerland.</t>
  </si>
  <si>
    <t>Immersive virtual reality; Training; Building information modelling (BIM); Electric power substation; Usability test</t>
  </si>
  <si>
    <t>UX9GL6UY</t>
  </si>
  <si>
    <t>Hub, F.; Wilbrink, M.; Kettwich, C.; Oehl, M.</t>
  </si>
  <si>
    <t>Designing Ride Access Points for Shared Automated Vehicles - An Early Stage Prototype Evaluation: An Early Stage Prototype Evaluation</t>
  </si>
  <si>
    <t>18650929 (ISSN); 978-303060702-9 (ISBN)</t>
  </si>
  <si>
    <t>10.1007/978-3-030-60703-6_72</t>
  </si>
  <si>
    <t>https://www.scopus.com/inward/record.uri?eid=2-s2.0-85097218573&amp;doi=10.1007%2f978-3-030-60703-6_72&amp;partnerID=40&amp;md5=6d6df2216916512aa8097e098716e408</t>
  </si>
  <si>
    <t>Future oriented mobility solutions, based on digital technologies, emphasize the need for digital and flexible urban infrastructure to give guidance to users. In the case of automated mobility on-demand (AMoD) services high user experience (UX) is essential for user acceptance. One of the main challenges is to enhance the user’s competence and information supply to overcome the physical meeting problem of user and shared automated vehicle (SAV). Hence, the need for the new concept of defined virtual ride access points (RAP) derives. The objective of this study is to evaluate a first human-centered RAP design prototype regarding usability and intuitiveness. By remotely interviewing 18 participants of young age, residing in urban areas and with experience in using ride-sharing services the authors show that already a first RAP prototype was positively rated with regard to usability and intuitiveness. So the mere existence of RAP presented with means of augmented reality has the potential to improve UX of new urban mobility services. With his article the authors seek to conceive guidelines for future digital human-centered AMoD infrastructure. © 2020, Springer Nature Switzerland AG.</t>
  </si>
  <si>
    <t>560-567</t>
  </si>
  <si>
    <t>Automation; Augmented reality; Automated vehicles; Digital technologies; User experience; Human computer interaction; User experiences (ux); Design prototype; Information supplies; Mobility on demand; Mobility solutions; Ride access point; Shared automated vehicle; Urban infrastructure; User acceptance</t>
  </si>
  <si>
    <t>Stephanidis C.; Antona M.; Ntoa S.</t>
  </si>
  <si>
    <t>PF8GGY8K</t>
  </si>
  <si>
    <t>Runji, J.M.; Lin, C.-Y.</t>
  </si>
  <si>
    <t>Markerless cooperative augmented reality-based smart manufacturing double-check system: Case of safe PCBA inspection following automatic optical inspection</t>
  </si>
  <si>
    <t>10.1016/j.rcim.2020.101957</t>
  </si>
  <si>
    <t>https://www.scopus.com/inward/record.uri?eid=2-s2.0-85081003790&amp;doi=10.1016%2fj.rcim.2020.101957&amp;partnerID=40&amp;md5=8ee44ca5e71bddf962cb2a8a6b21edfa</t>
  </si>
  <si>
    <t>Augmented reality (AR) is a key technology anchored towards realizing Industry 4.0 smart manufacturing aims. In manufacturing inspection, AR has previously been employed to support operators in assessing thickness of manufactured parts, ship building, aircraft subassemblies and printed circuit board assemblies (PCBAs) with or without external markers in standalone head-mounted (HMD) or handheld systems. These AR systems often use optical see-through (OST) or video see-through (VST) technologies. Currently, cyber physical integration of processes in an industrial system synergizes production through increased efficiency and improved quality while facilitating customization. An operator manually double-checking/inspecting a product that has previously been automatically inspected can better rely on this existing defect location information once it is contextually and spatially overlaid within their field of view to intuitively and efficiently execute the task. Additional interactive information provided can quickly reorient a user, provide necessary contextual reference, and monitor progress of the task while alerting them of their safety. In this study, adopting an automatic optical inspection (AOI) wirelessly aided HMD-OST AR-based manual inspection system requiring no external markers for contextual registration is a promising direction towards smart and safe PCBA manufacturing in line with Industry 4.0. Animated rectangular bracket of high color contrast is employed to localize the spawned AOI defect point, an arrow overlaid with distance text provides user guidance, a contextual resizable image facilitates user double-checking and a progress bar tracks the inspection progress while monitoring tracking state. We evaluate the developed system's robustness, effectiveness of display technology used, suitability of contextual against static display modes, and display technology influence on various inspection attributes in a user study. Results demonstrate the system to be robust, OST-HMD outperforms handheld VST devices, contextual display mode to be significantly preferred to static mode, and display technology employed has no significant influence on the inspection attributes. Finally, registration precision results demonstrate usability of the system while superposition of distance to orientation information raises the inspection rate of PCBAs. © 2020 Elsevier Ltd</t>
  </si>
  <si>
    <t>Augmented reality; Helmet mounted displays; Smart manufacturing; Inspection; Defects; Automatic optical inspection; Cooperative; Flow control; Industry 4.0; Interactive informations; Optical see-through; Optical testing; Orientation information; Printed circuit board assembly; Printed circuit boards; Registration precision</t>
  </si>
  <si>
    <t>56U69MW8</t>
  </si>
  <si>
    <t>Rokhsaritalemi, S.; Sadeghi-Niaraki, A.; Kang, H.-S.; Lee, J.-W.; Choi, S.-M.</t>
  </si>
  <si>
    <t>Ubiquitous Tourist System Based on Multicriteria Decision Making and Augmented Reality</t>
  </si>
  <si>
    <t>10.3390/app12105241</t>
  </si>
  <si>
    <t>https://www.scopus.com/inward/record.uri?eid=2-s2.0-85131051991&amp;doi=10.3390%2fapp12105241&amp;partnerID=40&amp;md5=ac949beceb45b622330b5ec222c5d647</t>
  </si>
  <si>
    <t>Increasing global demand for travel has drawn public attention to the tourism industry. This industry needs the design of intelligent systems based on new concepts to facilitate better service delivery. To this end, this study proposes a ubiquitous tourist system based on context-awareness, multicriteria decision making (MCDM), and augmented reality (AR) using a geospatial information system (GIS). This system provides two services to the user. First, it recommends a hotel in the vicinity of the user based on their preferences. Subsequently, it modifies the information property to augment the information concerning the visited object using AR technology. This system offers the advantage of adapting its models based on the user and their environment using context-awareness, thereby facilitating increased system automation during service delivery. Furthermore, this system enables personalization based on user needs. Our system was evaluated via a usability test using a Likert scale based on two system aspects, namely, system design, and user acceptance of the result. The output of this test yielded an average score of 4.112. The proximity of this score to the highest level of the Likert scale indicates the acceptance of the system by users. © 2022 by the authors. Licensee MDPI, Basel, Switzerland.</t>
  </si>
  <si>
    <t>augmented reality (AR); geospatial information system (GIS); multicriteria decision making (MCDM); smart tourism; ubiquitous system</t>
  </si>
  <si>
    <t>TF2NUSK9</t>
  </si>
  <si>
    <t>Bacchin, D.; Pluchino, P.; Furlan, M.; Minen, M.; Minen, D.; Formaggia, F.; Bruschetta, M.; Beghi, A.; Gamberini, L.</t>
  </si>
  <si>
    <t>Subjective evaluation of autonomous and manual driving in advanced simulation</t>
  </si>
  <si>
    <t>Annual Review of CyberTherapy and Telemedicine</t>
  </si>
  <si>
    <t>15548716 (ISSN)</t>
  </si>
  <si>
    <t>https://www.scopus.com/inward/record.uri?eid=2-s2.0-85115747548&amp;partnerID=40&amp;md5=33ff07913c01569c82082d0c5f35d1ba</t>
  </si>
  <si>
    <t>In the present study, we compare the user experience of driving a fully automated vehicle with that of driving a fully manual vehicle. We used a high-fidelity simulator displaying a highway road with four different obstacles. The user experience and usability of 26 participants was compared in the two conditions. The sense of presence in the simulation was also measured. The results showed differences between the two conditions. © 2020, Interactive Media Institute. All rights reserved.</t>
  </si>
  <si>
    <t>81-85</t>
  </si>
  <si>
    <t>Annu. Rev. Cyber Ther. Telemedicine</t>
  </si>
  <si>
    <t>Publisher: Interactive Media Institute</t>
  </si>
  <si>
    <t>usability; virtual reality; Virtual Reality; Article; controlled study; human; adult; female; male; simulation; priority journal; Autonomous Driving; car driving; human computer interaction; Human-computer Interactions</t>
  </si>
  <si>
    <t>7E668WLF</t>
  </si>
  <si>
    <t>Dubey, R.K.; Thrash, T.; Kapadia, M.; Hoelscher, C.; Schinazi, V.R.</t>
  </si>
  <si>
    <t>Information Theoretic Model to Simulate Agent-Signage Interaction for Wayfinding</t>
  </si>
  <si>
    <t>Cognitive Computation</t>
  </si>
  <si>
    <t>18669956 (ISSN)</t>
  </si>
  <si>
    <t>10.1007/s12559-019-09689-1</t>
  </si>
  <si>
    <t>https://www.scopus.com/inward/record.uri?eid=2-s2.0-85076895153&amp;doi=10.1007%2fs12559-019-09689-1&amp;partnerID=40&amp;md5=e976925af6c3fce3472e29a01605a2a8</t>
  </si>
  <si>
    <t>Signage systems are critical for communicating spatial information during wayfinding among a plethora of noise in the environment. A proper signage system can improve wayfinding performance and user experience by reducing the perceived complexity of the environment. However, previous models of sign-based wayfinding do not incorporate realistic noise or quantify the reduction in perceived complexity from the use of signage. Drawing upon concepts from information theory, we propose and validate a new agent-signage interaction model that quantifies available wayfinding information from signs for wayfinding. We conducted two online crowd-sourcing experiments to compute the distribution of a sign’s visibility and an agent’s decision-making confidence as a function of observation angle and viewing distance. We then validated this model using a virtual reality (VR) experiment with trajectories from human participants. The crowd-sourcing experiments provided a distribution of decision-making entropy (conditioned on visibility) that can be applied to any sign/environment. From the VR experiment, a training dataset of 30 trajectories was used to refine our model, and the remaining test dataset of 10 trajectories was compared with agent behavior using dynamic time warping (DTW) distance. The results revealed a reduction of 38.76% in DTW distance between the average trajectories before and after refinement. Our refined agent-signage interaction model provides realistic predictions of human wayfinding behavior using signs. These findings represent a first step towards modeling human wayfinding behavior in complex real environments in a manner that can incorporate several additional random variables (e.g., environment layout). © 2019, The Author(s).</t>
  </si>
  <si>
    <t>189-206</t>
  </si>
  <si>
    <t>Cognitive Comput.</t>
  </si>
  <si>
    <t>Crowdsourcing; Behavioral research; User experience; Artificial intelligence; Statistical tests; Real environments; Decision making; Autonomous agents; Agent-based model; Computational methods; Cognitive agent; Cognitive agents; Dynamic time warping; Entropy; Information theory; Interaction model; Observation angle; Signage system; Spatial informations; Trajectories; Visibility</t>
  </si>
  <si>
    <t>BHAXIV8N</t>
  </si>
  <si>
    <t>Miao, M.; Rietdijk, R.; Brunner, M.; Debono, D.; Togher, L.; Power, E.</t>
  </si>
  <si>
    <t>Implementation of Web-Based Psychosocial Interventions for Adults With Acquired Brain Injury and Their Caregivers: Systematic Review</t>
  </si>
  <si>
    <t>Journal of Medical Internet Research</t>
  </si>
  <si>
    <t>14388871 (ISSN)</t>
  </si>
  <si>
    <t>10.2196/38100</t>
  </si>
  <si>
    <t>https://www.scopus.com/inward/record.uri?eid=2-s2.0-85135379482&amp;doi=10.2196%2f38100&amp;partnerID=40&amp;md5=c1136e57fc2d0a432d7a00c7ba5a7280</t>
  </si>
  <si>
    <t>Background: More than 135 million people worldwide live with acquired brain injury (ABI) and its many psychosocial sequelae. This growing global burden necessitates scalable rehabilitation services. Despite demonstrated potential to increase the accessibility and scalability of psychosocial supports, digital health interventions are challenging to implement and sustain. The Nonadoption, Abandonment, Scale-Up, Spread, and Sustainability (NASSS) framework can offer developers and researchers a comprehensive overview of considerations to implement, scale, and sustain digital health interventions. Objective: This systematic review identified published, peer-reviewed primary evidence of implementation outcomes, strategies, and factors for web-based psychosocial interventions targeting either adults with ABI or their formal or informal caregivers; evaluated and summarized this evidence; synthesized qualitative and quantitative implementation data according to the NASSS framework; and provided recommendations for future implementation. Results were compared with 3 hypotheses which state that complexity (dynamic, unpredictable, and poorly characterized factors) in most or all NASSS domains increases likelihood of implementation failure; success is achievable, but difficult with many complicated domains (containing multiple interacting factors); and simplicity (straightforward, predictable, and few factors) in most or all domains increases the likelihood of success. Methods: From a comprehensive search of MEDLINE, EMBASE, PsycINFO, CINAHL, Scopus, speechBITE, and neuroBITE, we reviewed primary implementation evidence from January 2008 to June 2020. For web-based psychosocial interventions delivered via standard desktop computer, mobile phone, tablet, television, and virtual reality devices to adults with ABI or their formal or informal caregivers, we extracted intervention characteristics, stakeholder involvement, implementation scope and outcomes, study design and quality, and implementation data. Implementation data were both narratively synthesized and descriptively quantified across all 7 domains (condition, technology, value proposition, adopters, organization, wider system, and their interaction over time) and all subdomains of the NASSS framework. Study quality and risk of bias were assessed using the 2018 Mixed Methods Appraisal Tool. Results: We identified 60 peer-reviewed studies from 12 countries, including 5723 adults with ABI, 1920 carers, and 50 health care staff. The findings aligned with all 3 hypotheses. Conclusions: Although studies were of low methodological quality and insufficient number to statistically test relationships, the results appeared consistent with recommendations to reduce complexity as much as possible to facilitate implementation. Although studies excluded individuals with a range of comorbidities and sociocultural challenges, such simplification of NASSS domain 1 may have been necessary to advance intervention value propositions (domain 3). However, to create equitable digital health solutions that can be successfully implemented in real-world settings, it is recommended that developers involve people with ABI, their close others, and health care staff in addressing complexities in domains 2 to 7 from the earliest intervention design stages © 2022 Journal of Medical Internet Research. All rights reserved.</t>
  </si>
  <si>
    <t>J. Med. Internet Res.</t>
  </si>
  <si>
    <t>usability; virtual reality; Adult; Humans; Article; automation; controlled study; human; adult; artificial intelligence; comparative study; cognitive defect; patient satisfaction; digital health; clinical outcome; cost effectiveness analysis; systematic review; acquired brain injury; aphasia; Brain Injuries; brain injury; caregiver; caregiver support; caregivers; Caregivers; cognitive behavioral therapy; cognitive rehabilitation; communication partner training; comorbidity; complexity; conceptual framework; delivery of health care; exercise; game; health care; health care delivery; implementation science; individualization; Internet; internet interventions; interpersonal communication; medical informatics; metacognitive control; mobile phone; nonverbal communication; organizational resilience; program acceptability; psychoeducation; psychology; psychosocial; psychosocial intervention; Psychosocial Intervention; psychosocial interventions; public health; stakeholder engagement; Systematic Reviews as Topic; videoconferencing; web-based intervention</t>
  </si>
  <si>
    <t>4QTTAPPE</t>
  </si>
  <si>
    <t>Dai, B.</t>
  </si>
  <si>
    <t>Cloud information experience platform based on augmented reality in the background of Social Internet of Things</t>
  </si>
  <si>
    <t>International Journal of System Assurance Engineering and Management</t>
  </si>
  <si>
    <t>09756809 (ISSN)</t>
  </si>
  <si>
    <t>10.1007/s13198-021-01376-5</t>
  </si>
  <si>
    <t>https://www.scopus.com/inward/record.uri?eid=2-s2.0-85116799992&amp;doi=10.1007%2fs13198-021-01376-5&amp;partnerID=40&amp;md5=d57bdad5f1af62a300a0b9e09e78bb3e</t>
  </si>
  <si>
    <t>With the rapid development and extensive promotion of computer and Internet technology, users are more and more dependent on the network. The traditional information management system has been unable to meet the actual needs of a large number of concurrent access and fast storage. Therefore, it is very important to establish a unified cloud application platform for centralized management and unified identity of users in different systems. Through the combination of user experience testing technology, Internet of Things technology and cloud computing technology, the automatic user experience test of network application is realized, and the test report is generated. Managers can view the report through the report display interface provided by the user experience test cloud platform. Before the information system goes online, it will greatly improve the user experience quality of the information system by using the user experience test cloud platform. The designed pipeline integrates the augmented system and the Social Internet of Thing system to provide the efficient framework. Through the testing, the performance of the model is validated, the accuracy has reached the state-of-the-art level. © 2021, The Society for Reliability Engineering, Quality and Operations Management (SREQOM), India and The Division of Operation and Maintenance, Lulea University of Technology, Sweden.</t>
  </si>
  <si>
    <t>998-1004</t>
  </si>
  <si>
    <t>Intl. J. Syst. Assur. Eng. Manage.</t>
  </si>
  <si>
    <t>Augmented reality; Information systems; Information use; Users' experiences; Internet of Things; User experience; Information management; Application platforms; Cloud applications; Cloud information; Cloud platforms; Computer technology; Concurrent access; Experience platform; Information management systems; Internet of things; Internet technology; Socialization</t>
  </si>
  <si>
    <t>SPLEEKUA</t>
  </si>
  <si>
    <t>Heinonen, H.; Siltanen, S.; Ahola, P.</t>
  </si>
  <si>
    <t>Information Design for Small Screens: Toward Smart Glass Use in Guidance for Industrial Maintenance</t>
  </si>
  <si>
    <t>IEEE Transactions on Professional Communication</t>
  </si>
  <si>
    <t>03611434 (ISSN)</t>
  </si>
  <si>
    <t>10.1109/TPC.2021.3110616</t>
  </si>
  <si>
    <t>https://www.scopus.com/inward/record.uri?eid=2-s2.0-85117780717&amp;doi=10.1109%2fTPC.2021.3110616&amp;partnerID=40&amp;md5=02453b40ae2379d0afd6f99663104b72</t>
  </si>
  <si>
    <t>Background: Smart glasses and other extended reality (XR) solutions provide new ways of utilizing technical documentation with hands-busy tasks in the field. Scaling up the use of XR solutions in industry has been difficult due to the manual authoring of content for each device and task. Therefore, authoring solutions and information design methods need to be developed to scale content automatically to different devices and applications. Literature review: Related work includes smart glasses and industrial maintenance work, categorization based on users' skill levels, and standardized guidelines in information design. Research questions: 1. How should information content be designed and created to support use in smart glasses and other small-screen devices in addition to existing delivery channels? 2. How can the same information content be utilized to deliver relevant content to users based on their skill levels? 3. Are the users of technical instructions ready to accept smart glasses and XR as a delivery channel? Methodology: We describe a study that focused on designing maintenance instructions for small screens. The information was authored in DITA XML format, and a smart glass application was used in user tests to evaluate the delivery and usability of the information. We used thinking aloud and participant observation as well as questionnaires to collect data. Results and discussion: The chosen information design methods successfully compressed technical information, and automatic filtering of content supported different use cases. Participants were enthusiastic about the use of smart glasses, and the instructions helped in performing tasks. Conclusions: Information designed with the user-centered approach of minimalism works best with instructions on small screens, and filtering information using DITA XML elements is an efficient way to scale information for different user needs.  © 1988-2012 IEEE.</t>
  </si>
  <si>
    <t>407-426</t>
  </si>
  <si>
    <t>IEEE Trans Prof Commun</t>
  </si>
  <si>
    <t>Information use; Design; Maintenance; Surveys; Glass; Design method; Smart glass; Darwin information typing architecture; Darwin Information Typing Architecture (DITA); Darwin information typing architectures; extended reality (XR); Extended reality (XR); industrial maintenance; Industrial maintenance; Information design; Information filtering; Skill levels; Small screens; smart glasses; structured authoring; Structured authoring; XML</t>
  </si>
  <si>
    <t>3YJIEFXM</t>
  </si>
  <si>
    <t>Pape, S.; Kruger, M.; Muller, J.; Kuhlen, T.W.</t>
  </si>
  <si>
    <t>Calibratio: A small, low-cost, fully automated Motion-to-Photon Measurement Device</t>
  </si>
  <si>
    <t>Proc. - IEEE Conf. Virtual Real. 3D User Interfaces, VRW</t>
  </si>
  <si>
    <t>978-172816532-5 (ISBN)</t>
  </si>
  <si>
    <t>10.1109/VRW50115.2020.00050</t>
  </si>
  <si>
    <t>https://www.scopus.com/inward/record.uri?eid=2-s2.0-85085378658&amp;doi=10.1109%2fVRW50115.2020.00050&amp;partnerID=40&amp;md5=e6b16e9168e5b5ce1df983339c8d8070</t>
  </si>
  <si>
    <t>Since the beginning of the design and implementation of virtual environments, these systems have been built to give the users the best possible experience. One detrimental factor for the user experience was shown to be a high end-to-end latency, here measured as motionto-photon latency, of the system. Thus, a lot of research in the past was focused on the measurement and minimization of this latency in virtual environments.Most existing measurement-techniques require either expensive measurement hardware like an oscilloscope, mechanical components like a pendulum or depend on manual evaluation of samples. This paper proposes a concept of an easy to build, low-cost device consisting of a microcontroller, servo motor and a photo diode to measure the motion-to-photon latency in virtual reality environments fully automatically. It is placed or attached to the system, calibrates itself and is controlled/monitored via a web interface. While the general concept is applicable to a variety of VR technologies, this paper focuses on the context of CAVE-like systems. © 2020 IEEE.</t>
  </si>
  <si>
    <t>234-237</t>
  </si>
  <si>
    <t>Journal Abbreviation: Proc. - IEEE Conf. Virtual Real. 3D User Interfaces, VRW</t>
  </si>
  <si>
    <t>Performance; Virtual reality; User interfaces; Virtual-reality environment; User experience; Costs; Architectures; Computer graphics; Computer systems organization; Cross-computing tools and techniques; Design and implementations; Design for debug General and reference; End to end latencies; Graphics systems and interfaces; Hardware validation; Low-cost devices; Measurement hardware; Measurement techniques; Mechanical components; Other architectures; Photon measurements; Photons; Postmanufacture validation and debug; Special purpose systems Computing methodologies; Virtual reality Hardware</t>
  </si>
  <si>
    <t>Proceedings - 2020 IEEE Conference on Virtual Reality and 3D User Interfaces, VRW 2020</t>
  </si>
  <si>
    <t>YS3UWCQI</t>
  </si>
  <si>
    <t>Clement, P.; Veledar, O.; Könczöl, C.; Danzinger, H.; Posch, M.; Eichberger, A.; Macher, G.</t>
  </si>
  <si>
    <t>Enhancing Acceptance and Trust in Automated Driving trough Virtual Experience on a Driving Simulator</t>
  </si>
  <si>
    <t>Energies</t>
  </si>
  <si>
    <t>19961073 (ISSN)</t>
  </si>
  <si>
    <t>10.3390/en15030781</t>
  </si>
  <si>
    <t>https://www.scopus.com/inward/record.uri?eid=2-s2.0-85123044552&amp;doi=10.3390%2fen15030781&amp;partnerID=40&amp;md5=9cbd4fc53f4db38d60956510e2df4c4a</t>
  </si>
  <si>
    <t>As vehicle driving evolves from human-controlled to autonomous, human–machine interaction ensures intuitive usage as well as the feedback from vehicle occupants to the machine for optimising controls. The feedback also improves understanding of the user satisfaction with the system behaviour, which is crucial for determining user trust and, hence, the acceptance of the new functionalities that aim to improve mobility solutions and increase road safety. Trust and acceptance are potentially the crucial parameters for determining the success of autonomous driving deployment in wider society. Hence, there is a need to define appropriate and measurable parameters to be able to quantify trust and acceptance in a physically safe environment using dependable methods. This study seeks to support technical developments and data gathering with psychology to determine the degree to which humans trust automated driving functionalities. The primary aim is to define if the usage of an advanced driving simulator can improve consumer trust and acceptance of driving automation through tailor-made studies. We also seek to measure significant differences in responses from different demographic groups. The study employs tailor-made driving scenarios to gather feedback on trust, usability and user workload of 55 participants monitoring the vehicle behaviour and environment during the automated drive. Participants’ subjective ratings are gathered before and after the simulator session. Results show a significant increase in trust ensuing the exposure to the driving automation functionalities. We quantify this increase resulting from the usage of the driving simulator. Those less experienced with driving automation show a higher increase in trust and, therefore, profit more from the exercise. This appears to be linked to the demanded participant workload, as we establish a link between workload and trust. The findings provide a noteworthy contribution to quantifying the method of evaluating and ensuring user acceptance of driving automation. It is only through the increase of trust and consequent improvement of user acceptance that the introduction of the driving automation into wider society will be a guaranteed success. © 2022 by the authors. Licensee MDPI, Basel, Switzerland.</t>
  </si>
  <si>
    <t>Automation; Virtual reality; NASA; System usability; Digital storage; Automated driving; Automobile drivers; Case-studies; Advanced driver assistance systems; Automobile simulators; Driving simulator; Feedback; Motor transportation; Acceptance; Vehicles; Advanced driver assistant system; Advanced driver assistant systems; Advanced driver assistant systems (ADAS); Automated driving (AD); Driving school; Expression of trust; NASA TLX; NASA-TLX; Simulator case study; System usability scale</t>
  </si>
  <si>
    <t>IHEC3SY2</t>
  </si>
  <si>
    <t>Song, W.; Ming, J.; Jiang, L.; Yan, H.; Xiang, Y.; Chen, Y.; Fu, J.; Peng, G.</t>
  </si>
  <si>
    <t>App's auto-login function security testing via android OS-level virtualization</t>
  </si>
  <si>
    <t>Proc Int Conf Software Eng</t>
  </si>
  <si>
    <t>02705257 (ISSN); 978-073811319-7 (ISBN)</t>
  </si>
  <si>
    <t>10.1109/ICSE43902.2021.00149</t>
  </si>
  <si>
    <t>https://www.scopus.com/inward/record.uri?eid=2-s2.0-85115705243&amp;doi=10.1109%2fICSE43902.2021.00149&amp;partnerID=40&amp;md5=47332554f2b99b660600632749d2cddf</t>
  </si>
  <si>
    <t>Limited by the small keyboard, most mobile apps support the automatic login feature for better user experience. Therefore, users avoid the inconvenience of retyping their ID and password when an app runs in the foreground again. However, this auto-login function can be exploited to launch the so-called 'data-clone attack': once the locally-stored, auto-login depended data are cloned by attackers and placed into their own smartphones, attackers can break through the login-device number limit and log in to the victim's account stealthily. A natural countermeasure is to check the consistency of devicespecific attributes. As long as the new device shows different device fingerprints with the previous one, the app will disable the auto-login function and thus prevent data-clone attacks. In this paper, we develop VPDroid, a transparent Android OSlevel virtualization platform tailored for security testing. With VPDroid, security analysts can customize different device artifacts, such as CPU model, Android ID, and phone number, in a virtual phone without user-level API hooking. VPDroid's isolation mechanism ensures that user-mode apps in the virtual phone cannot detect device-specific discrepancies. To assess Android apps' susceptibility to the data-clone attack, we use VPDroid to simulate data-clone attacks with 234 most-downloaded apps. Our experiments on five different virtual phone environments show that VPDroid's device attribute customization can deceive all tested apps that perform device-consistency checks, such as Twitter, WeChat, and PayPal. 19 vendors have confirmed our report as a zero-day vulnerability. Our findings paint a cautionary tale: only enforcing a device-consistency check at client side is still vulnerable to an advanced data-clone attack.  © 2021 IEEE.</t>
  </si>
  <si>
    <t>1683-1694</t>
  </si>
  <si>
    <t>IEEE Computer Society</t>
  </si>
  <si>
    <t>Journal Abbreviation: Proc Int Conf Software Eng</t>
  </si>
  <si>
    <t>Smart phones; Virtual reality; Virtualization; Users' experiences; Virtualizations; Android (operating system); Application programming interfaces (API); Cloning; Consistency checks; Mobile app; Mobile security; New devices; Phone number; Securities analysts; Security testing; Telephone sets; User levels</t>
  </si>
  <si>
    <t>Proceedings - International Conference on Software Engineering</t>
  </si>
  <si>
    <t>9RM5U6NF</t>
  </si>
  <si>
    <t>Riegler, A.; Riener, A.; Holzmann, C.</t>
  </si>
  <si>
    <t>Content Presentation on 3D Augmented Reality Windshield Displays in the Context of Automated Driving</t>
  </si>
  <si>
    <t>978-166549617-9 (ISBN)</t>
  </si>
  <si>
    <t>10.1109/VR51125.2022.00074</t>
  </si>
  <si>
    <t>https://www.scopus.com/inward/record.uri?eid=2-s2.0-85129449106&amp;doi=10.1109%2fVR51125.2022.00074&amp;partnerID=40&amp;md5=b8f1af3ce1c280894f86de1ac0b2d1e3</t>
  </si>
  <si>
    <t>Increasing vehicle automation presents challenges as drivers of automated vehicles become more disengaged from the primary driving task, as there will still be activities that require interfaces for vehicle-passenger interactions. Windshield displays provide large-content areas supporting drivers in non-driving related tasks. This work addresses user preferences as well as task and safety aspects for 3D augmented reality (AR) windshield displays in automated driving. Participants of a user study (N = 24) were presented with two modes of content presentation (multiple content-specific windows vs. one main window), and could freely choose their preferred positions, content types, as well as size, and transparency levels for these content windows using a simulated "ideal"windshield display in a virtual reality driving simulator. We found that using one main content window resulted in better task performance and lower take-over times, however, subjective user experience was higher for the multi-window user interface. These insights help designers of in-vehicle applications to provide a rich user experience in automated vehicles.  © 2022 IEEE.</t>
  </si>
  <si>
    <t>543-552</t>
  </si>
  <si>
    <t>Automation; Virtual reality; Augmented reality; Three dimensional computer graphics; Visualization; User Interfaces; Human-centered computing; Design and evaluation methods; Intelligent systems; Content presentation; Graphical user interface; Graphical user interfaces; Graphical user interfaces (GUI); Information Interfaces and Presentation; Information interfaces and presentations; Miscellaneous; Visualization design and evaluation method; Visualization design and evaluation methods; Visualization designs; Visualization technique; Visualization techniques; Windshield displays; Windshields</t>
  </si>
  <si>
    <t>Proceedings - 2022 IEEE Conference on Virtual Reality and 3D User Interfaces, VR 2022</t>
  </si>
  <si>
    <t>QMUZQ6Y3</t>
  </si>
  <si>
    <t>Lyons, L.; Mallavarapu, A.</t>
  </si>
  <si>
    <t>Collective Usability: Using Simulation Tools to Explore Embodied Design Challenges in Immersive, Shared Mixed-Reality Experiences</t>
  </si>
  <si>
    <t>Educational Technology and Society</t>
  </si>
  <si>
    <t>11763647 (ISSN)</t>
  </si>
  <si>
    <t>https://www.scopus.com/inward/record.uri?eid=2-s2.0-85104034904&amp;partnerID=40&amp;md5=328e4703bd0bd63950b383e72b142b4f</t>
  </si>
  <si>
    <t>In this paper we define the concept of collective usability, a complex systems perspective on usability that positions an entire group, not an individual, as the unit of analysis. Shared XR experiences have inherent temporal and spatial properties that produce emergent, collective impacts which can impede learners’ engagement. Assembling large groups of users to test multiple design configurations is both logistically and financially impractical, however. We demonstrate the practical value of exploring the design space of an XR experience with a simple observation-informed Agent-Based Model. We used the model to explore how changes in the number of simultaneous users, and in the size, placement, and interaction duration of the proffered interactives, could affect collective access to a large-scale, mixed-reality, multi-user museum exhibit. (Collective access, an element of collective usability, is the degree to which users can gain access to each of the different interactives.) With this simple model, we explored (1) how the bottom-up propagation of individual-level design properties can affect collective outcomes, as when certain interactives’ linger times cause a bottleneck, and (2) how the top-down propagation of collective design constraints can be used to guide individual-level design, as when we determined thresholds for the “stickiness” and “repeat allure” of an interactive to improve collective access. The final design of the exhibit implemented many of the design guidelines uncovered by the model. We argue that collective usability models could be useful for addressing a range of collective usability issues, beyond collective access, for temporally and spatially sensitive XR learning environments. © 2021. All rights reserved.</t>
  </si>
  <si>
    <t>Publisher: International Forum of Educational Technology,National Taiwan Normal Universityand Society,</t>
  </si>
  <si>
    <t>Agent-based models; Collective usability; Informal learning; Shared XR; Usability methods</t>
  </si>
  <si>
    <t>DD9ANARN</t>
  </si>
  <si>
    <t>Vidal-Balea, A.; Blanco-Novoa, Ó.; Fraga-Lamas, P.; Fernández-Caramés, T.M.</t>
  </si>
  <si>
    <t>Developing the next generation of augmented reality games for pediatric healthcare: An open-source collaborative framework based on arcore for implementing teaching, training and monitoring applications</t>
  </si>
  <si>
    <t>10.3390/s21051865</t>
  </si>
  <si>
    <t>https://www.scopus.com/inward/record.uri?eid=2-s2.0-85101959631&amp;doi=10.3390%2fs21051865&amp;partnerID=40&amp;md5=56a4f7bd0a3cefab6f4c1c74a48c40f0</t>
  </si>
  <si>
    <t>Augmented Reality (AR) provides an alternative to the traditional forms of interaction between humans and machines, and facilitates the access to certain technologies to groups of people with special needs like children. For instance, in pediatric healthcare, it is important to help children to feel comfortable during medical procedures and tests that may be performed on them. To tackle such an issue with the help of AR-based solutions, this article presents the design, implementation and evaluation of a novel open-source collaborative framework that enables to develop teaching, training, and monitoring pediatric healthcare applications. Specifically, such a framework allows for building collaborative applications and shared experiences for AR devices, providing functionalities for connecting with other AR devices and enabling real-time visualization and simultaneous interaction with virtual objects. Since all the communications involved in AR interactions are handled by AR devices, the proposed collaborative framework is able to operate autonomously through a Local Area Network (LAN), thus requiring no cloud or external servers. In order to demonstrate the potential of the proposed framework, a practical use case application is presented. Such an application has been designed to motivate pediatric patients and to encourage them to increase their physical activity through AR games. The presented games do not require any previous configuration, as they use ARCore automatic surface detection technology. Moreover, the AR mobile gaming framework allows multiple players to engage in the same AR experience, so children can interact and collaborate among them sharing the same AR content. In addition, the proposed AR system provides a remote web application that is able to collect and to visualize data on patient use, aiming to provide healthcare professionals with qualified data about the mobility and mood of their patients through an intuitive and user-friendly web tool. Finally, to determine the performance of the proposed AR system, this article presents its evaluation in terms of latency and processing time. The results show that both times are low enough to provide a good user experience. © 2021 by the authors. Licensee MDPI, Basel, Switzerland.</t>
  </si>
  <si>
    <t>Augmented Reality; Humans; Child; human; Augmented reality; Teaching; Mixed reality; User experience; Pediatrics; health care personnel; health care delivery; Training; ARCore; child; Collaborative application; Collaborative framework; Delivery of Health Care; EHealth; Gaming; Health care; Health care application; Health care professionals; Health Personnel; Local area networks; Local area networks (LAN); Mobile health; Monitoring applications; Online education; Pediatric; Pediatric patients; pediatrics; Real time visualization</t>
  </si>
  <si>
    <t>UZGHJ2D9</t>
  </si>
  <si>
    <t>Moreta-Martinez, R.; Pose-Díez-De-la-lastra, A.; Calvo-Haro, J.A.; Mediavilla-Santos, L.; Pérez-Mañanes, R.; Pascau, J.</t>
  </si>
  <si>
    <t>Combining augmented reality and 3d printing to improve surgical workflows in orthopedic oncology: Smartphone application and clinical evaluation</t>
  </si>
  <si>
    <t>Sensors (Switzerland)</t>
  </si>
  <si>
    <t>10.3390/s21041370</t>
  </si>
  <si>
    <t>https://www.scopus.com/inward/record.uri?eid=2-s2.0-85100729792&amp;doi=10.3390%2fs21041370&amp;partnerID=40&amp;md5=b927ab33ebbefba04606abe21a209c54</t>
  </si>
  <si>
    <t>During the last decade, orthopedic oncology has experienced the benefits of computerized medical imaging to reduce human dependency, improving accuracy and clinical outcomes. However, traditional surgical navigation systems do not always adapt properly to this kind of interventions. Augmented reality (AR) and three-dimensional (3D) printing are technologies lately introduced in the surgical environment with promising results. Here we present an innovative solution combining 3D printing and AR in orthopedic oncological surgery. A new surgical workflow is proposed, including 3D printed models and a novel AR-based smartphone application (app). This app can display the patient’s anatomy and the tumor’s location. A 3D-printed reference marker, designed to fit in a unique position of the affected bone tissue, enables automatic registration. The system has been evaluated in terms of visualization accuracy and usability during the whole surgical workflow. Experiments on six realistic phantoms provided a visualization error below 3 mm. The AR system was tested in two clinical cases during surgical planning, patient communication, and surgical intervention. These results and the positive feedback obtained from surgeons and patients suggest that the combination of AR and 3D printing can improve efficacy, accuracy, and patients’ experience. © 2021 by the authors. Licensee MDPI, Basel, Switzerland.</t>
  </si>
  <si>
    <t>Augmented Reality; Humans; human; workflow; Augmented reality; Three dimensional computer graphics; Visualization; Navigation systems; Surgery; Surgery, Computer-Assisted; Innovative solutions; three-dimensional imaging; Imaging, Three-Dimensional; Medical imaging; Smartphones; 3D printers; Printing, Three-Dimensional; three dimensional printing; computer assisted surgery; 3D printing; Automatic registration; Clinical evaluation; Computer-aided interventions; mHealth; Oncology; Orthopedic oncology; Smart-phone; Smart-phone applications; smartphone; Smartphone; Surgical environment; Surgical equipment; Surgical interventions; Surgical navigation systems; Three-dimensional (3D) printing; Workflow</t>
  </si>
  <si>
    <t>D3KPUQCX</t>
  </si>
  <si>
    <t>Hub, F.; Oehl, M.</t>
  </si>
  <si>
    <t>Design and Field Test of a Mobile Augmented Reality Human–Machine Interface for Virtual Stops in Shared Automated Mobility On-Demand</t>
  </si>
  <si>
    <t>10.3390/electronics11172687</t>
  </si>
  <si>
    <t>https://www.scopus.com/inward/record.uri?eid=2-s2.0-85137813684&amp;doi=10.3390%2felectronics11172687&amp;partnerID=40&amp;md5=40053f1bc9f115b34a570d87f986f75f</t>
  </si>
  <si>
    <t>Shared automated mobility on-demand (SAMOD) is considered as a promising mobility solution in the future. Users book trips on-demand via a smartphone, and service algorithms set up virtual stops (vStop) where users then need to walk to board the automated shuttle. Navigation and identification of the virtual pickup location, which has no references in the real world, can be challenging. Providing users with an intuitive information system in that situation is essential to achieve high user acceptance of new automated mobility services. Our novel vStop human–machine interface (HMI) prototype for mobile augmented reality (AR) supports users with information in reference to the street environment. This work firstly presented the results of an online interview study (N = 21) to conceptualize an HMI. Secondly, the HMI was prototyped by means of AR and evaluated (N = 45) regarding user experience (UX), workload, and acceptance. The results show that the AR prototype provided high rates of UX especially in terms of high pragmatic quality. Furthermore, cognitive workload when using the HMI was low, and acceptance ratings were high. The results show the positive perception of AR for navigation tasks in general and the highly assistive character of the vStop prototype in particular. In the future, SAMOD services can provide customers with vStop HMIs to foster user acceptance and smooth operation of their service. © 2022 by the authors.</t>
  </si>
  <si>
    <t>augmented reality; user-centered design; HMI; field test; shared automated mobility on-demand; virtual stop</t>
  </si>
  <si>
    <t>G5Q6N7YM</t>
  </si>
  <si>
    <t>Oliveira, L.; Burns, C.; Luton, J.; Iyer, S.; Birrell, S.</t>
  </si>
  <si>
    <t>The influence of system transparency on trust: Evaluating interfaces in a highly automated vehicle</t>
  </si>
  <si>
    <t>10.1016/j.trf.2020.06.001</t>
  </si>
  <si>
    <t>https://www.scopus.com/inward/record.uri?eid=2-s2.0-85087198687&amp;doi=10.1016%2fj.trf.2020.06.001&amp;partnerID=40&amp;md5=0d5ac1ce48da90eb325e54af72f60954</t>
  </si>
  <si>
    <t>Previous studies indicate that, if an automated vehicle communicates its system status and intended behaviour, it could increase user trust and acceptance. However, it is still unclear what types of interfaces will better portray this type of information. The present study evaluated different configurations of screens comparing how they communicated the possible hazards in the environment (e.g. vulnerable road users), and vehicle behaviours (e.g. intended trajectory). These interfaces were presented in a fully automated vehicle tested by 25 participants in an indoor arena. Surveys and interviews measured trust, usability and experience after users were driven by an automated low-speed pod. Participants experienced four types of interfaces, from a simple journey tracker to a windscreen-wide augmented reality (AR) interface which overlays hazards highlighted in the environment and the trajectory of the vehicle. A combination of the survey and interview data showed a clear preference for the AR windscreen and an animated representation of the environment. The trust in the vehicle featuring these interfaces was significantly higher than pretrial measurements. However, some users questioned if they want to see this information all the time. One additional result was that some users felt motion sick when presented with the more engaging content. This paper provides recommendations for the design of interfaces with the potential to improve trust and user experience within highly automated vehicles. © 2020 Elsevier Ltd</t>
  </si>
  <si>
    <t>280-296</t>
  </si>
  <si>
    <t>Automation; Augmented reality; Automated vehicles; User experience; Road users; Vehicles; Surveys; Fully automated; Hazards; ITS systems; Low speed; System transparency; Trust in automation</t>
  </si>
  <si>
    <t>ES4BYR45</t>
  </si>
  <si>
    <t>Zhong, H.; Hong, S.; Gao, C.; Liu, K.; Wang, X.; Zhang, Q.; Zhu, K.; Wang, Y.; Guo, Y.</t>
  </si>
  <si>
    <t>Testing Approach of HMI Designs for Vehicles with Automated Driving Systems: A Usability Test Case Based on the Driving Simulator</t>
  </si>
  <si>
    <t>03029743 (ISSN); 978-303104986-6 (ISBN)</t>
  </si>
  <si>
    <t>10.1007/978-3-031-04987-3_31</t>
  </si>
  <si>
    <t>https://www.scopus.com/inward/record.uri?eid=2-s2.0-85132965650&amp;doi=10.1007%2f978-3-031-04987-3_31&amp;partnerID=40&amp;md5=fc29bb489e759d1ec3710cc6a210a681</t>
  </si>
  <si>
    <t>With the rapid development of Intelligent Vehicle, higher levels of automation (SAE level 3 and above; Society of Automotive Engineers [SAE] 2021) will be brought to the market in the next few years, and the corresponding in-car HMI will also usher in significant development and reform. However, the application of new technologies brings about more complex human-machine interfaces, longer development cycles and higher costs. Ensuring the safety and convenient interactive experience of in-car HMI becomes a greater challenge faced by designers. This paper investigates a driving simulator, which aims at achieving pre-launch experience assessment of a new in-car HMI design. Through the real-time linkage of virtual simulation HMI, virtual environment and cockpit hardware, the real restoration of users’ driving scenes and in-car HMI experience can be realized, so that the evaluation can help the product team redesign or optimize HMI to improve its safety and availability. A set of automated driving system (SAE level 2&amp;3) prototype was developed, and a usability study was performed on a driving simulator to evaluate the usability of the prototype. Fifteen participants were called upon to perform high-frequency common tasks base on two storylines while driving in the driving simulator. Their behavior and subjective feedback during driving were observed and recorded. After driving, semi-structured interviews were carried out. The results of the usability study helped us to improve HMI design solutions. According to this study, we have summarized the advantages and disadvantages of studying the usability of the driving simulator and provided reference suggestions for its subsequent development and improvement. © 2022, The Author(s), under exclusive license to Springer Nature Switzerland AG.</t>
  </si>
  <si>
    <t>459-471</t>
  </si>
  <si>
    <t>13335 LNCS</t>
  </si>
  <si>
    <t>Usability engineering; Usability studies; Automation; Virtual reality; Man machine systems; User interfaces; Users' experiences; Automated driving; User experience; Usability testing; Human Machine Interface; Automobile simulators; Driving simulator; Usability tests; Test case; Human-machine interface; Automated driving systems; Society of automotive engineers</t>
  </si>
  <si>
    <t>Krömker H.</t>
  </si>
  <si>
    <t>HCEG5RHU</t>
  </si>
  <si>
    <t>He, T.; Jazizadeh, F.; Arpan, L.</t>
  </si>
  <si>
    <t>AI-powered virtual assistants nudging occupants for energy saving: proactive smart speakers for HVAC control</t>
  </si>
  <si>
    <t>Building Research and Information</t>
  </si>
  <si>
    <t>09613218 (ISSN)</t>
  </si>
  <si>
    <t>10.1080/09613218.2021.2012119</t>
  </si>
  <si>
    <t>https://www.scopus.com/inward/record.uri?eid=2-s2.0-85121746393&amp;doi=10.1080%2f09613218.2021.2012119&amp;partnerID=40&amp;md5=ba6f3a5d2ef495844216d7c4ea45342e</t>
  </si>
  <si>
    <t>Virtual assistants powered by Artificial Intelligence (AI) and integrated into the smart home ecosystems facilitate human–building interactions. We have envisioned that the proactive virtual assistant capabilities could be designed to encourage energy conservation behaviours by relying on their nudging effect through conversational interactions, autonomous actuation and guiding users’ decision-making. To this end, we investigated how proactive virtual assistants, in a simulated smart home ecosystem, influence occupants to take energy-saving, adaptive actions for Heating, Ventilation and Air Conditioning (HVAC) operations and how participants’ personal characteristics affect their responses. Through an interactive online experiment, we collected data from 307 participants from diverse backgrounds across the United States. It was found that proactive communications with follow-up conversations can significantly increase the likelihood of accepting virtual assistance recommendations. This improvement was reflected in an increased number of participants (by 16%) who accepted energy-saving suggestions by comparing initial versus final responses during proactive conversations. Characterizing groups of participants based on their personal features and individual differences showed that user experience (with ∼30% increase), pro-environmental values/beliefs (with ∼24% to 35% increase) and forgiving thermal preferences (with ∼12% increase) had a significant influence on participants’ stated likelihood to accept virtual assistants’ recommendations and their evaluation of the general concept of proactive communication from virtual assistants. © 2021 Informa UK Limited, trading as Taylor &amp; Francis Group.</t>
  </si>
  <si>
    <t>394-409</t>
  </si>
  <si>
    <t>Build Res Inf</t>
  </si>
  <si>
    <t>Publisher: Routledge</t>
  </si>
  <si>
    <t>Automation; Virtual reality; Smart home; Smart homes; Virtual assistants; Feedback; Decision making; Intelligent buildings; Air conditioning; Air conditioning controls; Amazon alexa; Amazon Alexa; conversational AI; Conversational artificial intelligence; Eco feedbacks; eco-feedback; Ecosystems; Energy  savings; Energy conservation; energy-saving; Energy-savings; Heating ventilation and air conditioning; Proactive communications; virtual assistant</t>
  </si>
  <si>
    <t>L9YSMR5V</t>
  </si>
  <si>
    <t>Zou, X.; O'Hern, S.; Ens, B.; Coxon, S.; Mater, P.; Chow, R.; Neylan, M.; Vu, H.L.</t>
  </si>
  <si>
    <t>On-road virtual reality autonomous vehicle (VRAV) simulator: An empirical study on user experience</t>
  </si>
  <si>
    <t>Transportation Research Part C: Emerging Technologies</t>
  </si>
  <si>
    <t>0968090X (ISSN)</t>
  </si>
  <si>
    <t>10.1016/j.trc.2021.103090</t>
  </si>
  <si>
    <t>https://www.scopus.com/inward/record.uri?eid=2-s2.0-85103124145&amp;doi=10.1016%2fj.trc.2021.103090&amp;partnerID=40&amp;md5=9e35868bd12fee74f56026e7e6ca09ac</t>
  </si>
  <si>
    <t>Autonomous-vehicle (AV) technologies are rapidly advancing, but a great deal remains to be learned about their interaction and perception on public roads. Research in this area usually relies on AV trials using naturalistic driving which are expensive with various legal and ethical obstacles designed to keep the general public safe. The emerging concept of Wizard-of-Oz simulation is a promising solution to this problem wherein the driver of a standard vehicle is hidden from the passenger using a physical partition, providing the illusion of riding in an AV. Furthermore, head-mounted display (HMD) virtual reality (VR) has been proposed as a means of providing a Wizard-of-Oz protocol for on-road simulations of AVs. Such systems have potential to support a variety of study conditions at low cost, enabling simulation of a variety of vehicles, driving conditions, and circumstances. However, the feasibility of such systems has yet to be shown. This study makes use of a within-subjects factorial design for examining and evaluating a virtual reality autonomous vehicle (VRAV) system, with the aim of better understanding the differences between stationary and on-road simulations, both with and without HMD VR. More specifically, this study examines the effects on user experience of conditions including presence, arousal, simulator sickness and task workload. Participants indicated a realistic and immersive driving experience as part of subjective evaluation of the VRAV system, indicating the system is a promising tool for human-automation interaction and future AV technology developments. © 2021 Elsevier Ltd</t>
  </si>
  <si>
    <t>Transp. Res. Part C Emerg. Technol.</t>
  </si>
  <si>
    <t>virtual reality; automation; Virtual reality; Helmet mounted displays; Roads and streets; User interfaces; Users' experiences; Autonomous vehicles; Automobile simulators; Driving simulator; Condition; simulation; Head-mounted-displays; Evaluation study; Autonomous Vehicles; Wizard-of-Oz; Autonomous vehicle; Autonomous vehicle technologies; perception; simulator; unmanned vehicle; Vehicle simulators; Vehicle system; Wizard of Oz</t>
  </si>
  <si>
    <t>JQBHTNCN</t>
  </si>
  <si>
    <t>Vogiatzidakis, P.; Koutsabasis, P.</t>
  </si>
  <si>
    <t>‘Address and command’: Two-handed mid-air interactions with multiple home devices</t>
  </si>
  <si>
    <t>10.1016/j.ijhcs.2021.102755</t>
  </si>
  <si>
    <t>https://www.scopus.com/inward/record.uri?eid=2-s2.0-85120880141&amp;doi=10.1016%2fj.ijhcs.2021.102755&amp;partnerID=40&amp;md5=d37534f109defaa474b71352fce2566f</t>
  </si>
  <si>
    <t>Mid-air gestural interaction with multiple targets (or devices) in the physical space presents several challenges: gesture design gets more complex in the attempt to avoid gesture conflicts and accidental activations; the potential commands are many but the gesture set must be kept small to enable memorability; and, from a design-process perspective, there are not readily available technologies for implementation and prototyping. In this paper, we present the Address and Command (A&amp;C) interaction model that enables two-handed mid-air interactions with multiple remote devices, in a research approach that includes gesture elicitation, prototyping, and evaluation of the user experience. The A&amp;C model requires that users employ the non-dominant hand to address a device (address gestures) and the dominant hand to provide a command to it (command gestures). This approach affords interactions that simultaneously address and command multiple devices in ubiquitous environments that respond to mid-air input. A&amp;C interactions also afford the design of a single gesture for the same command when applicable for multiple devices, thus decreasing the total number of gestures to be memorized and promoting end-user learning of the gesture set. We have (a) conducted an elicitation study (n = 18) to define A&amp;C gestures for seven smart home devices and twelve commands; (b) developed a spatial augmented reality prototype that responds to mid-air gesture commands exploiting MS Kinect sensor and Visual Gesture Builder, Unity 3D and projection-mapping technologies onto foam mockups; (c) tested the approach and the gesture vocabulary in terms of usability, memorability and user experience at a scenario of 36 tasks among devices (n = 17). We found that A&amp;C interactions are feasible, fast, error-free, easy to learn and remember, and are highly valued in terms of user experience. © 2021 Elsevier Ltd</t>
  </si>
  <si>
    <t>Usability studies; Automation; Augmented reality; User interfaces; Prototyping; Smart home; Smart homes; Spatial augmented realities; Human computer interaction; Mapping; Address and command; Elicitation study; Gestural interaction; Home devices; Mid-air interaction; MS kinect; MS-Kinect; Multiple home device; Multiple home devices; Projection-mapping; Spatial augmented reality; Ubiquitous environment; Ubiquitous environments; Usability study</t>
  </si>
  <si>
    <t>GICYPZHQ</t>
  </si>
  <si>
    <t>Gorski, F.; Bun, P.; Stefanska, K.</t>
  </si>
  <si>
    <t>Use of Virtual Mirror in Design of Individualized Orthopedic Supplies</t>
  </si>
  <si>
    <t>Lect. Notes Mech. Eng.</t>
  </si>
  <si>
    <t>21954356 (ISSN); 978-303079164-3 (ISBN)</t>
  </si>
  <si>
    <t>10.1007/978-3-030-79165-0_36</t>
  </si>
  <si>
    <t>https://www.scopus.com/inward/record.uri?eid=2-s2.0-85111457707&amp;doi=10.1007%2f978-3-030-79165-0_36&amp;partnerID=40&amp;md5=676089487354fb6c2feae6522bdebbd6</t>
  </si>
  <si>
    <t>The paper presents studies on a prototype of a virtual mirror application, intended to aid the design process of individualized orthopedic supplies, such as limb orthoses or prostheses. The application is a part of an automated design and manufacturing system, relying on 3D scanning and 3D printing for manufacturing of supplies adjusted to specific patients. The application itself is divided into two parts: the configurator and the mirror. The paper presents briefly a concept, a prototype application based on Kinect sensor and studies on a small group of patients, as well as results of a survey study. Certain inaccuracies of Kinect sensor were detected in the tests, preventing smooth user experience with the mirror. However, the presented approach was viewed in a favorable way by the test group – the concept of a virtual mirror is a promising solution that should be utilized in the design process of individualized orthopedic supplies. On the basis of observations and surveys, recommendations for future development were formulated. © 2022, The Author(s), under exclusive license to Springer Nature Switzerland AG.</t>
  </si>
  <si>
    <t>388-394</t>
  </si>
  <si>
    <t>Journal Abbreviation: Lect. Notes Mech. Eng.</t>
  </si>
  <si>
    <t>Augmented reality; Design-process; Design; Surveys; 3D printers; 3-D printing; 3D-printing; 3D-scanning; Automated design system; Automated manufacturing systems; Kinect sensors; Mirrors; Orthopaedic supplies; Orthopedic supply; Orthoses; Virtual mirror</t>
  </si>
  <si>
    <t>Machado J.; Soares F.; Trojanowska J.; Ottaviano E.</t>
  </si>
  <si>
    <t>Lecture Notes in Mechanical Engineering</t>
  </si>
  <si>
    <t>MNX66JZJ</t>
  </si>
  <si>
    <t>Elor, A.; Whittaker, S.; Kurniawan, S.; Michael, S.</t>
  </si>
  <si>
    <t>BioLumin: An Immersive Mixed Reality Experience for Interactive Microscopic Visualization and Biomedical Research Annotation</t>
  </si>
  <si>
    <t>ACM Transactions on Computing for Healthcare</t>
  </si>
  <si>
    <t>26911957 (ISSN)</t>
  </si>
  <si>
    <t>10.1145/3548777</t>
  </si>
  <si>
    <t>https://www.scopus.com/inward/record.uri?eid=2-s2.0-85146436869&amp;doi=10.1145%2f3548777&amp;partnerID=40&amp;md5=4c0c620b2dfbe57eb2879a57fc070f66</t>
  </si>
  <si>
    <t>Many recent breakthroughs in medical diagnostics and drug discovery arise from deploying machine learning algorithms to large-scale data sets. However, a significant obstacle to such approaches is that they depend on high-quality annotations generated by domain experts. This study develops and evaluates BioLumin, a novel immersive mixed reality environment that enables users to virtually shrink down to the microscopic level for navigation and annotation of 3D reconstructed images. We discuss how domain experts were consulted in the specification of a pipeline to enable automatic reconstruction of biological models for mixed reality environments, driving the design of a 3DUI system to explore whether such a system allows accurate annotation of complex medical data by non-experts. To examine the usability and feasibility of BioLumin, we evaluated our prototype through a multi-stage mixed-method approach. First, three domain experts offered expert reviews, and subsequently, nineteen non-expert users performed representative annotation tasks in a controlled setting. The results indicated that the mixed reality system was learnable and that non-experts could generate high-quality 3D annotations after a short training session. Lastly, we discuss design considerations for future tools like BioLumin in medical and more general scientific contexts.  © 2022 Copyright held by the owner/author(s).</t>
  </si>
  <si>
    <t>ACM Trans. Comput. Healthc.</t>
  </si>
  <si>
    <t>human-computer interaction; usability; virtual reality; Diagnosis; Article; automation; controlled study; human; adult; female; male; Immersive; interactive visualization; Interactive visualizations; Visualization; Immersive technologies; Learning algorithms; videorecording; edge detection; image segmentation; Mixed reality; head movement; feedback system; mixed reality; Mixed-reality environment; machine learning; Image reconstruction; three-dimensional imaging; Human computer interaction; biological model; Bioluminescence; biomedical visualization; Biomedical visualization; cell nucleus; computer vision; control system; diagnostic test accuracy study; Domain experts; experience; eye fixation; feature extraction; High quality; high throughput imaging; human tissue; Machine learning; magic leap; Magic leap; medical research; microscopy; omentum; priority journal; process design; spatial computing; Spatial computing; tumor growth; vascular tumor</t>
  </si>
  <si>
    <t>CZUUEVB2</t>
  </si>
  <si>
    <t>Potseluyko, L.; Pour Rahimian, F.; Dawood, N.; Elghaish, F.; Hajirasouli, A.</t>
  </si>
  <si>
    <t>Game-like interactive environment using BIM-based virtual reality for the timber frame self-build housing sector</t>
  </si>
  <si>
    <t>10.1016/j.autcon.2022.104496</t>
  </si>
  <si>
    <t>https://www.scopus.com/inward/record.uri?eid=2-s2.0-85135359052&amp;doi=10.1016%2fj.autcon.2022.104496&amp;partnerID=40&amp;md5=3964bb02a69eb0866b1e861e615b9885</t>
  </si>
  <si>
    <t>BIM, gamification, and Virtual Reality applications are more often used to serve the interests of Design for Manufacture and Assembly (DfMA). This paper presents a comprehensive study to exploit these technologies' innovative approaches and capabilities. The study is specifically adopted to implement small and medium-size architectural and construction practices with a limited budget and time dedicated to visualisation creation. The collected evidence proved that a game-like platform combined with BIM could provide simplified data delivery to a client, leading to customer satisfaction, confidence and increased sales. The designed workflow and templates were tested in the case study of a small self-build construction company. The staff was trained to provide BIM data correctly and use supplied game templates. The case study demonstrated that automation of the VR House Configurator creation is achievable. The study's outcome is an integrated solution to regenerate BIM models in the game environment and utilise the house configurator's organised furniture library and costing interface. Furthermore, the usability tests confirmed the applicability, practicability, and validity of the developed framework and tools to deal with the revealed challenges in the self-build sector. Finally, the research provided a fresh approach for the companies in the sector, a step-by-step guide for implementing the innovative changes, and detailed descriptions of the methodologies and workflows. © 2022</t>
  </si>
  <si>
    <t>Architectural design; Virtual reality; BIM; VR; Work-flows; Case-studies; Integration; Unreal engine; Computer aided design; Construction industry; Budget control; Collaboration; Customer satisfaction; Design automation; Design automations; Gamification; Manufacture; Parametric design; Self-build; Structural design</t>
  </si>
  <si>
    <t>6K6IRC5I</t>
  </si>
  <si>
    <t>Schmucker, M.; Haag, M.</t>
  </si>
  <si>
    <t>Automated size recognition in pediatric emergencies using machine learning and augmented reality: Within-group comparative study</t>
  </si>
  <si>
    <t>JMIR Formative Research</t>
  </si>
  <si>
    <t>2561326X (ISSN)</t>
  </si>
  <si>
    <t>10.2196/28345</t>
  </si>
  <si>
    <t>https://www.scopus.com/inward/record.uri?eid=2-s2.0-85115293833&amp;doi=10.2196%2f28345&amp;partnerID=40&amp;md5=5a7758dca20d68ee2533346c996df14b</t>
  </si>
  <si>
    <t>Background: Pediatric emergencies involving children are rare events, and the experience of emergency physicians and the results of such emergencies are accordingly poor. Anatomical peculiarities and individual adjustments make treatment during pediatric emergency susceptible to error. Critical mistakes especially occur in the calculation of weight-based drug doses. Accordingly, the need for a ubiquitous assistance service that can, for example, automate dose calculation is high. However, few approaches exist due to the complexity of the problem. Objective: Technically, an assistance service is possible, among other approaches, with an app that uses a depth camera that is integrated in smartphones or head-mounted displays to provide a 3D understanding of the environment. The goal of this study was to automate this technology as much as possible to develop and statistically evaluate an assistance service that does not have significantly worse measurement performance than an emergency ruler (the state of the art). Methods: An assistance service was developed that uses machine learning to recognize patients and then automatically determines their size. Based on the size, the weight is automatically derived, and the dosages are calculated and presented to the physician. To evaluate the app, a small within-group design study was conducted with 17 children, who were each measured with the app installed on a smartphone with a built-in depth camera and a state-of-the-art emergency ruler. Results: According to the statistical results (one-sample t test; P=.42; α=.05), there is no significant difference between the measurement performance of the app and an emergency ruler under the test conditions (indoor, daylight). The newly developed measurement method is thus not technically inferior to the established one in terms of accuracy. Conclusions: An assistance service with an integrated augmented reality emergency ruler is technically possible, although some groundwork is still needed. The results of this study clear the way for further research, for example, usability testing. © Michael Schmucker, Martin Haag. Originally published in JMIR Formative Research (https://formative.jmir.org), 20.09.2021. This is an open-access article distributed under the terms of the Creative Commons Attribution License (https://creativecommons.org/licenses/by/4.0/), which permits unrestricted use, distribution, and reproduction in any medium, provided the original work, first published in JMIR Formative Research, is properly cited. The complete bibliographic information, a link to the original publication on https://formative.jmir.org, as well as this copyright and license information must be included.</t>
  </si>
  <si>
    <t>JMIR Form.  Res.</t>
  </si>
  <si>
    <t>Mobile applications; Augmented reality; Resuscitation; Machine learning; Emergency medicine; Mobile phone; User-computer interface</t>
  </si>
  <si>
    <t>KGUCCVWQ</t>
  </si>
  <si>
    <t>Oña, E.D.; Jardón, A.; Cuesta-Gómez, A.; Sánchez-Herrera-baeza, P.; Cano-De-la-cuerda, R.; Balaguer, C.</t>
  </si>
  <si>
    <t>Validity of a fully-immersive VR-based version of the box and blocks test for upper limb function assessment in Parkinson’s disease</t>
  </si>
  <si>
    <t>10.3390/s20102773</t>
  </si>
  <si>
    <t>https://www.scopus.com/inward/record.uri?eid=2-s2.0-85084787360&amp;doi=10.3390%2fs20102773&amp;partnerID=40&amp;md5=c5cccc072b158733703b31b6f95f8e52</t>
  </si>
  <si>
    <t>In recent decades, gaming technology has been accepted as a feasible method for complementing traditional clinical practice, especially in neurorehabilitation; however, the viability of using 3D Virtual Reality (VR) for the assessment of upper limb motor function has not been fully explored. For that purpose, we developed a VR-based version of the Box and Blocks Test (BBT), a clinical test for the assessment of manual dexterity, as an automated alternative to the classical procedure. Our VR-based BBT (VR-BBT) integrates the traditional BBT mechanics into gameplay using the Leap Motion Controller (LMC) to capture the user’s hand motion and the Oculus Rift headset to provide a fully immersive experience. This paper focuses on evaluating the validity of our VR-BBT to reliably measure the manual dexterity in a sample of patients with Parkinson’s Disease (PD). For this study, a group of twenty individuals in a mild to moderate stage of PD were recruited. Participants were asked to perform the physical BBT (once) and our proposed VR-BBT (twice) system, separately. Correlation analysis of collected data was carried out. Statistical analysis proved that the performance data collected by the VR-BBT significantly correlated with the conventional assessment of the BBT. The VR-BBT scores have shown a significant association with PD severity measured by the Hoehn and Yahr scale. This fact suggests that the VR-BBT could be used as a reliable indicator for health improvements in patients with PD. Finally, the VR-BBT system presented high usability and acceptability rated by clinicians and patients. © 2020 by the authors. Licensee MDPI, Basel, Switzerland.</t>
  </si>
  <si>
    <t>virtual reality; Virtual Reality; Female; Humans; Male; human; Virtual reality; female; male; aged; pathophysiology; Aged; Parkinson disease; Parkinson Disease; Parkinson’s disease; physiotherapy; Interactive computer graphics; Assessment; Correlation analysis; 3D virtual reality; Automatic; Clinical practices; Games for health; Gaming technology; hand; Hand; Health improvements; Manual dexterity; Motion controller; Neurological rehabilitation; Neurorehabilitation; Physical Functional Performance; Physical Therapy Modalities; Upper Extremity; upper limb; Upper-limb function</t>
  </si>
  <si>
    <t>45EZDBPC</t>
  </si>
  <si>
    <t>A QoE Evaluation of an Augmented Reality Procedure Assistance Application</t>
  </si>
  <si>
    <t>Int. Conf. Qual. Multimed. Exp., QoMEX</t>
  </si>
  <si>
    <t>978-172815965-2 (ISBN)</t>
  </si>
  <si>
    <t>10.1109/QoMEX48832.2020.9123097</t>
  </si>
  <si>
    <t>https://www.scopus.com/inward/record.uri?eid=2-s2.0-85087666173&amp;doi=10.1109%2fQoMEX48832.2020.9123097&amp;partnerID=40&amp;md5=b409a3bfc9b2f8eb5e36b4adb72a5dd6</t>
  </si>
  <si>
    <t>Augmented reality (AR) is a key technology to enhance worker effectiveness during increasing automation of repetitive jobs in the workplace. AR will achieve this by assisting the user to successfully perform complex and frequently changing procedures. The design of AR applications for these roles is critical to their acceptability and utility. User quality of experience (QoE) will inform these design decisions. A user arrives at a quality judgment upon post-experience reflection of their degree of delight or annoyance relating to the degree of fulfilment of pragmatic and hedonic needs and expectations of the medium under consideration. QoE researchers have largely depended upon post-experience subjective reports to determine the user's QoE. Subjective reports have been shown to be biased by primacy, recency and maxima of experience stimuli. Recent research involves the identification of implicit metrics that can be used to determine user QoE continuously during a multimedia experience. This work evaluates head rotation frequency as an objective metric of user QoE. The literature shows that emotion is expressed in the frequency of a person's head rotation around three axes of movement (pitch, yaw and roll). Low frequency head rotation has been shown to include expression of happy emotion while high frequency exclusively expresses anger emotion. These emotions are analogous to those reflected on by a user during the quality formation process. This demo paper analyses the amount of high frequency head rotation exhibited by the user upon task completion using an AR procedure assistance application or a paper-based control. An optimal Rubik's Cube solving AR application was used as a proof of concept for AR-based procedure assistance. Preliminary results showed that the AR environment yielded higher task success rates and significantly shorter task completion durations. The AR users exhibited significantly lower amplitudes of anger frequencies in their head rotations than the control group. © 2020 IEEE.</t>
  </si>
  <si>
    <t>Journal Abbreviation: Int. Conf. Qual. Multimed. Exp., QoMEX</t>
  </si>
  <si>
    <t>augmented reality; Augmented reality; User experience; Proof of concept; affective state; Key technologies; Multimedia systems; quality of experience; Quality of experience (QoE); Quality of service; Control groups; Design decisions; Formation process; head-rotation frequency; High frequency HF; Recent researches; Rotation</t>
  </si>
  <si>
    <t>2020 12th International Conference on Quality of Multimedia Experience, QoMEX 2020</t>
  </si>
  <si>
    <t>WVHPFM5T</t>
  </si>
  <si>
    <t>Flick, C.D.; Harris, C.J.; Yonkers, N.T.; Norouzi, N.; Erickson, A.; Choudhary, Z.; Gottsacker, M.; Bruder, G.; Welch, G.</t>
  </si>
  <si>
    <t>Trade-offs in Augmented Reality User Interfaces for Controlling a Smart Environment</t>
  </si>
  <si>
    <t>Proc. - SUI: ACM Spat. User Interact.</t>
  </si>
  <si>
    <t>978-145039091-0 (ISBN)</t>
  </si>
  <si>
    <t>10.1145/3485279.3485288</t>
  </si>
  <si>
    <t>https://www.scopus.com/inward/record.uri?eid=2-s2.0-85119376218&amp;doi=10.1145%2f3485279.3485288&amp;partnerID=40&amp;md5=b30b7bf0ee1e21de9f760e623b0df775</t>
  </si>
  <si>
    <t>Smart devices and Internet of Things (IoT) technologies are replacing or being incorporated into traditional devices at a growing pace. The use of digital interfaces to interact with these devices has become a common occurrence in homes, work spaces, and various industries around the world. The most common interfaces for these connected devices focus on mobile apps or voice control via intelligent virtual assistants. However, with augmented reality (AR) becoming more popular and accessible among consumers, there are new opportunities for spatial user interfaces to seamlessly bridge the gap between digital and physical affordances. In this paper, we present a human-subject study evaluating and comparing four user interfaces for smart connected environments: gaze input, hand gestures, voice input, and a mobile app. We assessed participants' user experience, usability, task load, completion time, and preferences. Our results show multiple trade-offs between these interfaces across these measures. In particular, we found that gaze input shows great potential for future use cases, while both gaze input and hand gestures suffer from limited familiarity among users, compared to voice input and mobile apps. © 2021 ACM.</t>
  </si>
  <si>
    <t>Journal Abbreviation: Proc. - SUI: ACM Spat. User Interact.</t>
  </si>
  <si>
    <t>Augmented Reality; Automation; Usability; Augmented reality; User interfaces; Hand gesture; Smart devices; Internet of Things; Economic and social effects; Smart homes; Smart environment; Internet of things; Commerce; Digital devices; Smart Home; Mobile app; 3D user interface; 3D User Interfaces; Connected device; Connected Devices; Internet of things technologies; Trade off; Traditional devices</t>
  </si>
  <si>
    <t>Spencer S.N.</t>
  </si>
  <si>
    <t>Proceedings - SUI 2021: ACM Spatial User Interaction 2021</t>
  </si>
  <si>
    <t>HQRPUSHW</t>
  </si>
  <si>
    <t>Delamarre, A.; Lisetti, C.; Buche, C.</t>
  </si>
  <si>
    <t>A Cross-Platform Classroom Training Simulator: Interaction Design and EvaluationA Cross-Platform Classroom Training Simulator: Interaction Design and Evaluation</t>
  </si>
  <si>
    <t>Proc. - Int. Conf. Cyberworlds, CW</t>
  </si>
  <si>
    <t>978-172816497-7 (ISBN)</t>
  </si>
  <si>
    <t>10.1109/CW49994.2020.00020</t>
  </si>
  <si>
    <t>https://www.scopus.com/inward/record.uri?eid=2-s2.0-85099535199&amp;doi=10.1109%2fCW49994.2020.00020&amp;partnerID=40&amp;md5=0afab14bfbc31f31c90b991bafa5ee8d</t>
  </si>
  <si>
    <t>Virtual training environments experienced with different immersive technologies can accommodate users' preferences, proficiency, and platform availability. Whereas research comparing the effects of immersive technologies can provide important insights about their impact on users' experience (e.g. engagement, transfer of learning), current studies do not address how to design the user interface (UI) to ensure sound comparisons across platforms. For effective comparisons, however, the UI designs must be adapted for the platform used to provide comparable usability. In this article we describe our UI design methodology for the development of an effective and usable virtual classroom training simulator built for three technologies: (1) desktop; (2) Head-Mounted Display (HMD); and (3) Cave Automatic Virtual Environment (CAVE). Usability and other user experience factors were evaluated for each platform with concurrent think-aloud protocol and semi-structured interviews indicating that all three UIs were easy to use and to learn. We discuss insights for future development of cross-platform VTEs. © 2020 IEEE.</t>
  </si>
  <si>
    <t>86-93</t>
  </si>
  <si>
    <t>Journal Abbreviation: Proc. - Int. Conf. Cyberworlds, CW</t>
  </si>
  <si>
    <t>Virtual Reality; Virtual reality; Helmet mounted displays; User interfaces; Immersive technologies; E-learning; User experience; Design; User Study; Computer aided instruction; Cave automatic virtual environments; Caves; Simulators; Head mounted displays; Availability; Human Computer Interaction; Immersive Virtual Environment; Platform availabilities; Semi structured interviews; Think-aloud protocol; Transfer learning; Transfer of learning; Virtual training environments</t>
  </si>
  <si>
    <t>Sourin A.; Charier C.; Rosenberger C.; Sourina O.</t>
  </si>
  <si>
    <t>Proceedings - 2020 International Conference on Cyberworlds, CW 2020</t>
  </si>
  <si>
    <t>IBTA3PYE</t>
  </si>
  <si>
    <t>Kuts, V.; Marvel, J.A.; Aksu, M.; Pizzagalli, S.L.; Sarkans, M.; Bondarenko, Y.; Otto, T.</t>
  </si>
  <si>
    <t>Digital Twin as Industrial Robots Manipulation Validation Tool</t>
  </si>
  <si>
    <t>Robotics</t>
  </si>
  <si>
    <t>22186581 (ISSN)</t>
  </si>
  <si>
    <t>10.3390/robotics11050113</t>
  </si>
  <si>
    <t>https://www.scopus.com/inward/record.uri?eid=2-s2.0-85140630782&amp;doi=10.3390%2frobotics11050113&amp;partnerID=40&amp;md5=4d65665d6641f9534a6aed0cdd8b7b90</t>
  </si>
  <si>
    <t>The adoption of Digital Twin (DT) solutions for industrial purposes is increasing among small- and medium-sized enterprises and is already being integrated into many large-scale companies. As there is an increasing need for faster production and shortening of the learning curve for new emerging technologies, Virtual Reality (VR) interfaces for enterprise manufacturing DTs seem to be a good solution. Furthermore, with the emergence of Industry 5.0 (I5.0) paradigm, human operators will be increasingly integrated in the systems interfaces though advanced interactions, pervasive sensors, real time tracking and data acquisition. This scenario is especially relevant in collaborative automated systems where the introduction of immersive VR interfaces based on production cell DTs might provide a solution for the integration of the human factors in the modern industrial scenarios. This study presents experimental results of the comparison between users controlling a physical industrial robot system via a traditional teach pendant and a DT leveraging a VR user interface. The study group involves forty subjects including experts in robotics and VR as well as non-experts. An analysis of the data gathered in both the real and the virtual use case scenario is provided. The collected information includes time for performing a task with an industrial robot, stress level evaluation, physical and mental effort, and the human subjects’ perceptions of the physical and simulated robots. Additionally, operator gazes were tracked in the VR environment. In this study, VR interfaces in the DT representation are exploited to gather user centered metrics and validate efficiency and safety standards for modern collaborative industrial systems in I5.0. The goal is to evaluate how the operators perceive and respond to the virtual robot and user interface while interacting with them and detect if any degradation of user experience and task efficiency exists compared to the real robot interfaces. Results demonstrate that the use of DT VR interfaces is comparable to traditional tech pendants for the given task and might be a valuable substitute of physical interfaces. Despite improving the overall task performance and considering the higher stress levels detected while using the DT VR interface, further studies are necessary to provide a clearer validation of both interfaces and user impact assessment methods. © 2022 by the authors.</t>
  </si>
  <si>
    <t>virtual reality; digital twin; human–robot interaction; industrial robotics</t>
  </si>
  <si>
    <t>PT6PCJBJ</t>
  </si>
  <si>
    <t>McDonald, T.; Usher, W.; Morrical, N.; Gyulassy, A.; Petruzza, S.; Federer, F.; Angelucci, A.; Pascucci, V.</t>
  </si>
  <si>
    <t>Improving the Usability of Virtual Reality Neuron Tracing with Topological Elements</t>
  </si>
  <si>
    <t>10.1109/TVCG.2020.3030363</t>
  </si>
  <si>
    <t>https://www.scopus.com/inward/record.uri?eid=2-s2.0-85100348610&amp;doi=10.1109%2fTVCG.2020.3030363&amp;partnerID=40&amp;md5=a621cdd91fb7d7be8a47ee22cc528a4e</t>
  </si>
  <si>
    <t>Researchers in the field of connectomics are working to reconstruct a map of neural connections in the brain in order to understand at a fundamental level how the brain processes information. Constructing this wiring diagram is done by tracing neurons through high-resolution image stacks acquired with fluorescence microscopy imaging techniques. While a large number of automatic tracing algorithms have been proposed, these frequently rely on local features in the data and fail on noisy data or ambiguous cases, requiring time-consuming manual correction. As a result, manual and semi-automatic tracing methods remain the state-of-the-art for creating accurate neuron reconstructions. We propose a new semi-automatic method that uses topological features to guide users in tracing neurons and integrate this method within a virtual reality (VR) framework previously used for manual tracing. Our approach augments both visualization and interaction with topological elements, allowing rapid understanding and tracing of complex morphologies. In our pilot study, neuroscientists demonstrated a strong preference for using our tool over prior approaches, reported less fatigue during tracing, and commended the ability to better understand possible paths and alternatives. Quantitative evaluation of the traces reveals that users' tracing speed increased, while retaining similar accuracy compared to a fully manual approach. © 1995-2012 IEEE.</t>
  </si>
  <si>
    <t>744-754</t>
  </si>
  <si>
    <t>virtual reality; Virtual Reality; Virtual reality; Pilot Projects; pilot study; algorithm; Algorithms; Neurons; computer graphics; Computer Graphics; Complex morphology; Fluorescence imaging; Fluorescence microscopy; Fluorescence microscopy imaging; High resolution image; Morse-Smale Complex; nerve cell; Neuron reconstruction; Quantitative evaluation; Rapid understanding; Semi-automatic Neuron Tracing; Semiautomatic methods; Topological features; Topology</t>
  </si>
  <si>
    <t>W88LAH88</t>
  </si>
  <si>
    <t>Sipatchin, A.; Wahl, S.; Rifai, K.</t>
  </si>
  <si>
    <t>Eye-tracking for clinical ophthalmology with virtual reality (Vr): A case study of the htc vive pro eye’s usability</t>
  </si>
  <si>
    <t>Healthcare (Switzerland)</t>
  </si>
  <si>
    <t>22279032 (ISSN)</t>
  </si>
  <si>
    <t>10.3390/healthcare9020180</t>
  </si>
  <si>
    <t>https://www.scopus.com/inward/record.uri?eid=2-s2.0-85104461265&amp;doi=10.3390%2fhealthcare9020180&amp;partnerID=40&amp;md5=2152816197ed92107920b61ef76a2b41</t>
  </si>
  <si>
    <t>Background: A case study is proposed to empirically test and discuss the eye-tracking status-quo hardware capabilities and limitations of an off-the-shelf virtual reality (VR) headset with embedded eye-tracking for at-home ready-to-go online usability in ophthalmology applications. Methods: The eye-tracking status-quo data quality of the HTC Vive Pro Eye is investigated with novel testing specific to objective online VR perimetry. Testing was done across a wide visual field of the head-mounted-display’s (HMD) screen and in two different moving conditions. A new automatic and low-cost Raspberry Pi system is introduced for VR temporal precision testing for assessing the usability of the HTC Vive Pro Eye as an online assistance tool for visual loss. Results: The target position on the screen and head movement evidenced limitations of the eye-tracker capabilities as a perimetry assessment tool. Temporal precision testing showed the system’s latency of 58.1 milliseconds (ms), evidencing its good potential usage as a ready-to-go online assistance tool for visual loss. Conclusions: The test of the eye-tracking data quality provides novel analysis useful for testing upcoming VR headsets with embedded eye-tracking and opens discussion regarding expanding future introduction of these HMDs into patients’ homes for low-vision clinical usability. © 2021 by the authors. Licensee MDPI, Basel, Switzerland.</t>
  </si>
  <si>
    <t>Healthcare (Basel)</t>
  </si>
  <si>
    <t>Eye-tracking; Ophthalmology; Virtual reality (VR); Usability methods; Head-mounted display (HMD)</t>
  </si>
  <si>
    <t>P6P2BKIJ</t>
  </si>
  <si>
    <t>Minty, I.; Lawson, J.; Guha, P.; Luo, X.; Malik, R.; Cerneviciute, R.; Kinross, J.; Martin, G.</t>
  </si>
  <si>
    <t>The use of mixed reality technology for the objective assessment of clinical skills: a validation study</t>
  </si>
  <si>
    <t>10.1186/s12909-022-03701-3</t>
  </si>
  <si>
    <t>https://www.scopus.com/inward/record.uri?eid=2-s2.0-85136381750&amp;doi=10.1186%2fs12909-022-03701-3&amp;partnerID=40&amp;md5=5f05c46881d94051fab493779690e25e</t>
  </si>
  <si>
    <t>Background: Mixed Reality technology may provide many advantages over traditional teaching methods. Despite its potential, the technology has yet to be used for the formal assessment of clinical competency. This study sought to collect validity evidence and assess the feasibility of using the HoloLens 2 mixed reality headset for the conduct and augmentation of Objective Structured Clinical Examinations (OSCEs). Methods: A prospective cohort study was conducted to compare the assessment of undergraduate medical students undertaking OSCEs via HoloLens 2 live (HLL) and recorded (HLR), and gold-standard in-person (IP) methods. An augmented mixed reality scenario was also assessed. Results: Thirteen undergraduate participants completed a total of 65 OSCE stations. Overall inter-modality correlation was 0.81 (p = 0.01), 0.98 (p = 0.01) and 0.82 (p = 0.01) for IP vs. HLL, HLL vs. HLR and IP vs. HLR respectively. Skill based correlations for IP vs. HLR were assessed for history taking (0.82, p = 0.01), clinical examination (0.81, p = 0.01), procedural (0.88, p = 0.01) and clinical skills (0.92, p = 0.01), and assessment of a virtual mixed reality patient (0.74, p = 0.01). The HoloLens device was deemed to be usable and practical (Standard Usability Scale (SUS) score = 51.5), and the technology was thought to deliver greater flexibility and convenience, and have the potential to expand and enhance assessment opportunities. Conclusions: HoloLens 2 is comparable to traditional in-person examination of undergraduate medical students for both live and recorded assessments, and therefore is a valid and robust method for objectively assessing performance. The technology is in its infancy, and users need to develop confidence in its usability and reliability as an assessment tool. However, the potential to integrate additional functionality including holographic content, automated tracking and data analysis, and to facilitate remote assessment may allow the technology to enhance, expand and standardise examinations across a range of educational contexts. © 2022, The Author(s).</t>
  </si>
  <si>
    <t>usability; Augmented Reality; Humans; controlled study; human; procedures; adult; female; male; article; clinical article; cohort analysis; Prospective Studies; prospective study; reliability; reproducibility; Reproducibility of Results; medical student; education; feasibility study; technology; Technology; clinical competence; Clinical Competence; Educational Measurement; Medical education; Students, Medical; validation study; anamnesis; Assessment; clinical examination; data analysis; gold standard; infancy; Innovation; medical education; Mixed reality technology; skill; validity</t>
  </si>
  <si>
    <t>FSHZ54RV</t>
  </si>
  <si>
    <t>Wintersberger, P.; Janotta, F.; Löcken, A.; Peintner, J.; Riener, A.</t>
  </si>
  <si>
    <t>Evaluating feedback requirements for trust calibration in automated vehicles</t>
  </si>
  <si>
    <t>IT - Information Technology</t>
  </si>
  <si>
    <t>16112776 (ISSN)</t>
  </si>
  <si>
    <t>10.1515/itit-2020-0024</t>
  </si>
  <si>
    <t>https://www.scopus.com/inward/record.uri?eid=2-s2.0-85099910323&amp;doi=10.1515%2fitit-2020-0024&amp;partnerID=40&amp;md5=3761513475a0b4fd15bd846a1e171d85</t>
  </si>
  <si>
    <t>The inappropriate use of automation as a result of trust issues is a major barrier for a broad market penetration of automated vehicles. Studies so far have shown that providing information about the vehicle's actions and intentions can be used to calibrate trust and promote user acceptance. However, how such feedback could be designed optimally is still an open question. This article presents the results of two user studies. In the first study, we investigated subjective trust and user experience of (N=21) participants driving in a fully automated vehicle, which interacts with other traffic participants in virtual reality. The analysis of questionnaires and semi-structured interviews shows that participants request feedback about the vehicle's status and intentions and prefer visual feedback over other modalities. Consequently, we conducted a second study to derive concrete requirements for future feedback systems. We showed (N=56) participants various videos of an automated vehicle from the ego perspective and asked them to select elements in the environment they want feedback about so that they would feel safe, trust the vehicle, and understand its actions. The results confirm a correlation between subjective user trust and feedback needs and highlight essential requirements for automatic feedback generation. The results of both experiments provide a scientific basis for designing more adaptive and personalized in-vehicle interfaces for automated driving. © 2021 De Gruyter Oldenbourg. All rights reserved.</t>
  </si>
  <si>
    <t>111-122</t>
  </si>
  <si>
    <t>IT Info. Tech.</t>
  </si>
  <si>
    <t>Automation; Automated driving; Automated vehicles; User experience; Visual communication; Vehicles; Surveys; User acceptance; User studies; Trust in automation; Semi structured interviews; Adaptive UIs; Analysis of questionnaire; Automatic feedback; Market penetration; Mixed/Augmented reality; Personalized UIs; Scientific basis; Vehicle interface</t>
  </si>
  <si>
    <t>EVKWS855</t>
  </si>
  <si>
    <t>Miloff, A.; Carlbring, P.; Hamilton, W.; Andersson, G.; Reuterskiöld, L.; Lindner, P.</t>
  </si>
  <si>
    <t>Measuring alliance toward embodied virtual therapists in the era of automated treatments with the Virtual Therapist Alliance Scale (VTAS): Development and psychometric evaluation</t>
  </si>
  <si>
    <t>10.2196/16660</t>
  </si>
  <si>
    <t>https://www.scopus.com/inward/record.uri?eid=2-s2.0-85082380039&amp;doi=10.2196%2f16660&amp;partnerID=40&amp;md5=9c6a69c4afdf5d74773e5737513f3e90</t>
  </si>
  <si>
    <t>Background: Automated virtual reality exposure therapies (VRETs) are self-help treatments conducted by oneself and supported by a virtual therapist embodied visually and/or with audio feedback. This simulates many of the nonspecific relational elements and common factors present in face-to-face therapy and may be a means of improving adherence to and efficacy of self-guided treatments. However, little is known about alliance toward the virtual therapist, despite alliance being an important predictor of treatment outcome. Objective: In this study, we aimed to evaluate the first alliance instrument developed for use with embodied virtual therapists in an automated treatment format—the Virtual Therapist Alliance Scale (VTAS)—by (1) assessing its psychometric properties, (2) verifying the dimensionality of the scale, and (3) determining the predictive ability of the scale with treatment outcome. Methods: A psychometric evaluation and exploratory factor analysis of the VTAS was conducted using data from two samples of spider-fearful patients treated with VRET and the help of an embodied, voice-based virtual therapist (n=70). Multiple regression models and bivariate correlations were used to assess the VTAS relationship with treatment outcome, according to self-reported fear and convergence with presence and user-friendliness process measures. Results: The VTAS showed a sound two-factor solution composed of a primary factor covering task, goal, and copresence; adequate internal consistency; and good convergent validity, including moderate correlation (r=.310, P=.01) with outcomes over follow-up. Conclusions: These preliminary results suggest that alliance toward a virtual therapist is a significant predictor of treatment outcome, favors the importance of a task-goal over bond-factor, and should be explored in studies with larger sample sizes and in additional forms of embodiment. ©Alexander Miloff, Per Carlbring, William Hamilton, Gerhard Andersson, Lena Reuterskiöld, Philip Lindner.</t>
  </si>
  <si>
    <t>Female; Humans; Male; Article; human; procedures; Usability; Virtual reality; adult; female; male; telemedicine; Telemedicine; questionnaire; Avatar; follow up; Presence; Alliance; assessment of humans; Automated treatment; convergent validity; Embodiment; Empathy; Exposure therapy; factor analysis; Factor Analysis, Statistical; internal consistency; Psychometric; Psychometrics; psychometry; self report; sensitivity analysis; spider phobia; Surveys and Questionnaires; therapy effect; treatment outcome; Treatment Outcome; Virtual coach; virtual reality exposure therapy; Virtual Reality Exposure Therapy; Virtual therapist; Virtual Therapist Alliance Scale</t>
  </si>
  <si>
    <t>C9P9W4BX</t>
  </si>
  <si>
    <t>Flores-Bungacho, F.; Guerrero, J.; Llanos, J.; Ortiz-Villalba, D.; Navas, A.; Velasco, P.</t>
  </si>
  <si>
    <t>Development and Application of a Virtual Reality Biphasic Separator as a Learning System for Industrial Process Control</t>
  </si>
  <si>
    <t>10.3390/electronics11040636</t>
  </si>
  <si>
    <t>https://www.scopus.com/inward/record.uri?eid=2-s2.0-85125589138&amp;doi=10.3390%2felectronics11040636&amp;partnerID=40&amp;md5=94381985fca5749aa97fea05c76d1c26</t>
  </si>
  <si>
    <t>In this study, we propose a virtual reality biphasic separator methodology in an immersive industrial environment. It allows the training of students or engineers in process and automatic control. On the other hand, the operating performance of a biphasic separator requires advanced automatic control strategies because this industrial process has multivariable and nonlinear characteristics. In this context, the virtual biphasic separator allows the testing of several control techniques. The methodology, involving the immersive virtualization of the biphasic separator, includes three stages. First, a multivariable mathematical model of the industrial process is obtained. The second stage corresponds to virtualization, in which the 3D modelling of the industrial process is undertaken. Then, the process dynamic is captured by the plant model implemented, in the software Unity. In the third stage, the control strategies are designed. The interaction between the virtual biphasic separator and the control system is implemented using shared variables. Three control strategies are implemented and compared to validate the applicability: A classic control algorithm, namely, the proportional integral derivative (PID) control method, as well as two advanced controllers-a numerical controller and model predictive control (MPC). The results demonstrate the virtual separator’s usability regarding the operating performance of the virtual biphasic separator, considering the control techniques implemented. © 2022 by the authors. Licensee MDPI, Basel, Switzerland.</t>
  </si>
  <si>
    <t>Virtualization; Advanced control; Biphasic separator; Prosses control; Virtual laboratory</t>
  </si>
  <si>
    <t>N2XWRV4W</t>
  </si>
  <si>
    <t>Korthauer, A.; Guenther, C.; Hinrichs, A.; Ren, W.; Yang, Y.</t>
  </si>
  <si>
    <t>Watch Your Vehicle Driving at the City: Interior HMI with Augmented Reality for Automated Driving</t>
  </si>
  <si>
    <t>Ext. Abstr. - Int. Conf. Hum.-Comput. Interact. Mob. Devices Serv.: Expand. Horiz. Mob. Interact, MobileHCI</t>
  </si>
  <si>
    <t>978-145038052-2 (ISBN)</t>
  </si>
  <si>
    <t>10.1145/3406324.3425895</t>
  </si>
  <si>
    <t>https://www.scopus.com/inward/record.uri?eid=2-s2.0-85102132909&amp;doi=10.1145%2f3406324.3425895&amp;partnerID=40&amp;md5=f51b192c3500138b41fc1f08f410abbc</t>
  </si>
  <si>
    <t>It is very likely that automated vehicles will have to operate in mixed traffic environments for a longer period in the future. To deploy highly automated vehicles (HAV) in urban mixed traffic, it is essential to be able to communicate externally with other human road users (drivers of non-automated vehicles, cyclists, pedestrians) and internally with the passenger of the HAV. Internal communication through an interior human machine interface (HMI) keeps the passenger informed about the HAV's automation state and actions, in order to build trust and enable a more comfortable ride experience. In this study, we explore augmented reality (AR) as part of an interior HMI for this purpose. We follow a user-centric approach with user research, prototyping, and user experience evaluation. Results suggest that the passengers of HAVs have specific information needs concerning surrounding traffic and the current driving situation. AR could help to serve this need, for instance by highlighting relevant objects in the driving scene. © 2020 Owner/Author.</t>
  </si>
  <si>
    <t>Journal Abbreviation: Ext. Abstr. - Int. Conf. Hum.-Comput. Interact. Mob. Devices Serv.: Expand. Horiz. Mob. Interact, MobileHCI</t>
  </si>
  <si>
    <t>Augmented reality; Automated driving; Automated vehicles; Automation; Current driving; eye-gaze tracking; highly automated driving; Human computer interaction; Human Machine Interface; human-machine interaction; Interface states; Internal communications; Specific information; User experience; User experience evaluations; User research; Vehicles</t>
  </si>
  <si>
    <t>Extended Abstracts - 22nd International Conference on Human-Computer Interaction with Mobile Devices and Services: Expanding the Horizon of Mobile Interaction, MobileHCI 2020</t>
  </si>
  <si>
    <t>TLIEXMVJ</t>
  </si>
  <si>
    <t>Stadler, S.; Cornet, H.; Frenkler, F.</t>
  </si>
  <si>
    <t>Towards user acceptance of autonomous vehicles: A virtual reality study on human-machine interfaces</t>
  </si>
  <si>
    <t>International Journal of Technology Marketing</t>
  </si>
  <si>
    <t>1741878X (ISSN)</t>
  </si>
  <si>
    <t>10.1504/IJTMKT.2019.104601</t>
  </si>
  <si>
    <t>https://www.scopus.com/inward/record.uri?eid=2-s2.0-85078364675&amp;doi=10.1504%2fIJTMKT.2019.104601&amp;partnerID=40&amp;md5=3912c09bfe4e45d5384af47c8f24a344</t>
  </si>
  <si>
    <t>Technological advances in businesses related to automated transportation raise challenges. Indeed, ensuring safety for users is essential for the future commercial launch of this technology. Within this study, human-machine interfaces (HMIs) are evaluated regarding the communication between autonomous vehicles (AVs) and pedestrians in order to prepare a successful deployment of the technology on the market. Since real-life experiments involving AVs remain dangerous, experiments were conducted via virtual reality (VR). The results show that beyond the need for HMIs, display-based concepts were more usable than laser projections. The study impacts on: 1) substantiating the need for explicit HMIs on AVs (including concept recommendations) for a successful market entry; 2) proving that VR constitutes an advantageous alternative for conducting experiments in the field of autonomous transportation for both research and business. Further work is needed that involves more participants and an improved virtual environment. Copyright © 2019 Inderscience Enterprises Ltd.</t>
  </si>
  <si>
    <t>325-353</t>
  </si>
  <si>
    <t>Int.  J. Technol.  Marketing</t>
  </si>
  <si>
    <t>Publisher: Inderscience Publishers</t>
  </si>
  <si>
    <t>Virtual reality; Usability testing; Pedestrian safety; Head-mounted display; Autonomous mobility; Evaluation of interfaces; HMIs; Human-machine interfaces; Pedestrian behaviour; Pedestrian simulator</t>
  </si>
  <si>
    <t>EDLQJA8K</t>
  </si>
  <si>
    <t>Metzger, M.C.; Bittermann, G.; Dannenberg, L.; Schmelzeisen, R.; Gellrich, N.-C.; Hohlweg-Majert, B.; Scheifele, C.</t>
  </si>
  <si>
    <t>Design and development of a virtual anatomic atlas of the human skull for automatic segmentation in computer-assisted surgery, preoperative planning, and navigation</t>
  </si>
  <si>
    <t>10.1007/s11548-013-0818-6</t>
  </si>
  <si>
    <t>https://www.scopus.com/inward/record.uri?eid=2-s2.0-84884909493&amp;doi=10.1007%2fs11548-013-0818-6&amp;partnerID=40&amp;md5=ab34eb290a0bba25ddb4b0b6fbff0bfe</t>
  </si>
  <si>
    <t>Purpose Manual segmentation of CT datasets for preoperative planning and intraoperative navigation is a time-consuming procedure. The purpose of this study was to develop an automated segmentation procedure for the facial skeleton based on a virtual anatomic atlas of the skull, to test its practicability, and to evaluate the accuracy of the segmented objects. Materials and methods The atlas skull was created by manually segmenting an unaffected skull CT dataset. For automated segmentation of cases via IPlan cranial (BrainLAB, Germany), the atlas skull underwent projection, controlled deformation, and a facultative threshold segmentation within the individual datasets, of which 16 routine CT (13 pathologies, 3 without) were processed. The variations of the no-threshold versus threshold segmentation results compared to the original were determined. The clinical usability of the results was assessed in a multicentre evaluation. Results Compared to the original dataset, the mean accuracy was ≤0.6 mm for the threshold segmentation and 0.6-1.4 mm for the no-threshold segmentation. Comparing both methods together, the deviation was ≤0.2 mm. An isolated no-threshold segmentation of the orbital cavity alone resulted in a mean accuracy of ≤0.6 mm. With regard to clinical usability, the no-threshold method was clearly preferred, reaching modal scores of "good" to "moderate" in most areas. Limitations were seen in segmenting the TMJ, mandibular fractures, and thin bone in general. Conclusion The feasibility of automated skull segmentation was demonstrated. The virtual anatomic atlas can improve the preprocessing of skull CT scans for computer assisted craniomaxillofacial surgery planning. © 2013 CARS.</t>
  </si>
  <si>
    <t>691-702</t>
  </si>
  <si>
    <t>Publisher: Springer Verlag</t>
  </si>
  <si>
    <t>virtual reality; Adult; Female; Humans; automation; controlled study; human; female; male; article; Reproducibility of Results; preoperative evaluation; Surgery, Computer-Assisted; accuracy; Imaging, Three-Dimensional; image processing; Tomography, X-Ray Computed; Navigation; priority journal; Skull; Segmentation; computer assisted surgery; anatomic landmark; anatomical variation; Anatomy, Artistic; automatic segmentation; CAS; clinical protocol; CMF; craniomaxillofacial surgery; Data preprocessing; Equipment Design; image analysis; imaging software; neuronavigation; Preoperative Care; process development; skull surgery; Software Design; surgical anatomy; treatment planning</t>
  </si>
  <si>
    <t>NJZA2RYX</t>
  </si>
  <si>
    <t>Teutsch, J.; Mollwitz, V.</t>
  </si>
  <si>
    <t>Virtual block control and separation bubbles in ATC low visibility operations</t>
  </si>
  <si>
    <t>Proc. Integr. Commun., Navig. Surveill. Conf., ICNS</t>
  </si>
  <si>
    <t>978-142444734-3 (ISBN)</t>
  </si>
  <si>
    <t>10.1109/ICNSURV.2009.5172840</t>
  </si>
  <si>
    <t>https://www.scopus.com/inward/record.uri?eid=2-s2.0-70449109067&amp;doi=10.1109%2fICNSURV.2009.5172840&amp;partnerID=40&amp;md5=bef8fa071dec8882f2e6a1f117384937</t>
  </si>
  <si>
    <t>The EUROCONTROL Airport Operations Programme (APR) is providing stakeholders with documentation and support for safe, cost-effective and efficient airport operations. Within this work programme the potential of Advanced Surface Movement Guidance and Control Systems (A-SMGCS) to increase safety and maintain throughput in all weather conditions is investigated. Currently, airport operations under low visibility conditions are still based on procedures and working methods without automation support. The National Aerospace Laboratory of the Netherlands (NLR) together with their partners from the German Aerospace Centre (DLR) carried out research activities on the selection and evaluation of candidate concepts for advanced operations with A-SMGCS surveillance under low visibility conditions as part of the EUROCONTROL APR. During dedicated interviews and workshops with stakeholders, candidate concepts were selected based on criteria for usability, safety, human factors, and cost-benefit. Two candidate concepts, named Virtual Block Control and Separation Bubble Alerting, emerged and were evaluated in full-scale human-in-the-loop real-time simulations of Rotterdam Airport on the NLR ATM Research Tower Simulator (NARSIM Tower) platform. The study showed that a combination of the two tower control concepts can indeed improve efficiency of operations under low visibility conditions. The designed interface prototypes are flexible and inexpensive tools that should be developed further. ©2009 IEEE.</t>
  </si>
  <si>
    <t>Journal Abbreviation: Proc. Integr. Commun., Navig. Surveill. Conf., ICNS</t>
  </si>
  <si>
    <t>Virtual reality; Cost effectiveness; Human engineering; Monitoring; Navigation; Real time systems; Visibility; Advanced surface movement guidance and control systems; Airport operations; Airports; Block control; Control concept; Eurocontrol; Human factors; Human-in-the-loop; Interface prototype; Low visibility; National aerospace laboratories; Netherlands; Real time simulations; Research activities; Rotterdam; Separation bubble; Tower simulators; Towers; Weather conditions; Working methods</t>
  </si>
  <si>
    <t>Proceedings of the 2009 Integrated Communications, Navigation and Surveillance Conference, ICNS 2009</t>
  </si>
  <si>
    <t>CT7ZSP8M</t>
  </si>
  <si>
    <t>Hercegfi, K.; Komlódi, A.; Köles, M.; Tóvölgyi, S.</t>
  </si>
  <si>
    <t>Eye-tracking-based wizard-of-Oz usability evaluation of an emotional display agent integrated to a virtual environment</t>
  </si>
  <si>
    <t>Acta Polytechnica Hungarica</t>
  </si>
  <si>
    <t>17858860 (ISSN)</t>
  </si>
  <si>
    <t>10.12700/APH.16.2.2019.2.9</t>
  </si>
  <si>
    <t>https://www.scopus.com/inward/record.uri?eid=2-s2.0-85069740749&amp;doi=10.12700%2fAPH.16.2.2019.2.9&amp;partnerID=40&amp;md5=278fce75cddf47ac0366abe51b7aa1d2</t>
  </si>
  <si>
    <t>This paper presents the results of the usability testing of an experimental component of the Virtual Collaboration Arena (VirCA) developed by the Cognitive Informatics Group of the Computer and Automation Research Institute of the Hungarian Academy of Sciences. This component is a semi-intelligent agent called the Emotional Display Object. We applied Wizard-of-Oz type high-fidelity early prototype evaluation technique to test the concept. The research focused on basic usability problems, and, in general, the perceptibility of the object as uncovered by eye-tracking and interview data; we analyzed and interpreted the results in correlation with the individual differences identified by a demographic questionnaire and psychological tests: the Myers-Briggs Type Indicator (MBTI), the Spatial-Visual Ability Paper Folding Test, and the Reading the Mind in the Eyes Test (RMET) - however, the main goal of this paper outreaches beyond the particular issues found and the development of an agent: it shows a case study on how complex concepts in Virtual Reality (VR) can be tested in very early stage of development. © 2019, Budapest Tech Polytechnical Institution. All rights reserved.</t>
  </si>
  <si>
    <t>145-162</t>
  </si>
  <si>
    <t>Acta Polytech. Hung.</t>
  </si>
  <si>
    <t>Publisher: Budapest Tech Polytechnical Institution</t>
  </si>
  <si>
    <t>Usability evaluation; Virtual agent; Eye-tracking; Concept testing; Early prototype; Human-robot interaction; Individual differences; Uncanny valley; Virtual reality (VR); Wizard-of-Oz</t>
  </si>
  <si>
    <t>864DJKFT</t>
  </si>
  <si>
    <t>Ordaz, N.; Romero, D.; Gorecky, D.; Siller, H.R.</t>
  </si>
  <si>
    <t>Serious Games and Virtual Simulator for Automotive Manufacturing Education &amp; Training</t>
  </si>
  <si>
    <t>Procedia Comput. Sci.</t>
  </si>
  <si>
    <t>18770509 (ISSN)</t>
  </si>
  <si>
    <t>10.1016/j.procs.2015.12.247</t>
  </si>
  <si>
    <t>https://www.scopus.com/inward/record.uri?eid=2-s2.0-84964030211&amp;doi=10.1016%2fj.procs.2015.12.247&amp;partnerID=40&amp;md5=cc1bfc9823692f1bb161040d17c9fc42</t>
  </si>
  <si>
    <t>Manufacturing industry is facing important challenges in terms of sustainability, flexibility, ramp-up and time-to-market shortening. This is pushing RTD towards digital tools and methods to simulate and test production processes beforehand and thus bridging the gaps between manufacturing engineering and production. For example, virtual training offers a huge potential to reduce the time and effort of traditional hardware training and thus leading to shorter production ramp-up time. However, before being deployed in an industrial environment, virtual training systems need to prove their reliability and user acceptance. The purpose of this study was to determine the impact of gaming experience on the learning process of a manufacturing operation using the VIrtual Simulation and TRAining (VISTRA) system, a serious game that simulates manufacturing environments in order to train operators to perform manual tasks. The simulated operations take place at a welding workstation for truck chassis parts, where automation and manual tasks are combined. The case study aims then to evaluate the impact of gaming-experience and the general usability of the VISTRA system. Ten operators participated in the study; each operator completed five different training scenes on three difficulty levels each. Completion time and mistake count were computed by the VISTRA system after completing each training scene. This information was analyzed and compared. Results showed that: (1) users without gaming experience took considerably more time to complete the sequences than users with gaming experience, (2) the same amount of mistakes were made by gamers and by no-gamers, and (3) 50% of the mistakes were made during a particular scene. The study thus found that gaming experience influences positively on training completion time using the VISTRA system. The particularities on the mistake count demonstrated that gaming experience does not influence the understanding of the manufacturing operation. Usability issues found on users' feedback are further discussed in terms of visualization, tools and parts, assisted-learning and ergonomics. © 2015 The Authors.</t>
  </si>
  <si>
    <t>267-274</t>
  </si>
  <si>
    <t>Journal Abbreviation: Procedia Comput. Sci.</t>
  </si>
  <si>
    <t>Virtual Reality; Virtual reality; Augmented reality; Personnel training; E-learning; Ergonomics; Serious gaming; Virtual training systems; Engineering education; Manufacture; Digital devices; Automotive manufacturing; Game Usability; Manufacturing engineering; Manufacturing environments; Manufacturing industries; Manufacturing operations; Manufacturing Training; Rayon; Serious Gaming; Sustainable development</t>
  </si>
  <si>
    <t>Ramirez Flores P.G.; Martin Gutierrez J.; Mendivil E.G.; Ginters E.</t>
  </si>
  <si>
    <t>Procedia Computer Science</t>
  </si>
  <si>
    <t>9H93V6EP</t>
  </si>
  <si>
    <t>Zhang, Y.; Travis, A.R.L.</t>
  </si>
  <si>
    <t>Creation and evaluation of a multi-sensory virtual assembly environment</t>
  </si>
  <si>
    <t>International Journal of Automation and Computing</t>
  </si>
  <si>
    <t>17518520 (ISSN)</t>
  </si>
  <si>
    <t>10.1007/s11633-008-0163-3</t>
  </si>
  <si>
    <t>https://www.scopus.com/inward/record.uri?eid=2-s2.0-44249101399&amp;doi=10.1007%2fs11633-008-0163-3&amp;partnerID=40&amp;md5=19ee27cf97c6b20efd662352a20d578b</t>
  </si>
  <si>
    <t>The multi-modal information presentation, integrated into the virtual environment (VE), has potential for stimulating different senses, improving the user's impression of immersion, and increasing the amount of information that is accepted and processed by the user's perception system. The increase of the useful feedback information may reduce the user's cognitive load, thus enhancing the user's efficiency and performance while interacting with VEs. This paper presents our creation of a multi-sensory virtual assembly environment (VAE) and the evaluation of the effects of multi-sensory feedback on the usability. The VAE brings together complex technologies such as constraint-based assembly simulation, optical motion tracking technology, and real-time 3D sound generation technology around a virtual reality workbench and a common software platform. The usability evaluation is in terms of its three attributes: efficiency of use, user satisfaction, and reliability. These are addressed by using task completion times (TCTs), questionnaires, and human performance error rates (HPERs), respectively. Two assembly tasks have been used to perform the experiments, using sixteen participants. The outcomes showed that the multi-sensory feedback could improve the usability. They also indicated that the integrated feedback offered better usability than either feedback used in isolation. Most participants preferred the integrated feedback to either feedback (visual or auditory) or no feedback. The participants' comments demonstrated that nonrealistic or inappropriate feedback had negative effects on the usability, and easily made them feel frustrated. The possible reasons behind the outcomes are also analysed by using a unifying human computer interaction framework. The implications, concluded from the outcomes of this work, can serve as useful guidelines for improving VE system design and implementation. © 2008 Institute of Automation, Chinese Academy of Sciences and Springer-Verlag GmbH.</t>
  </si>
  <si>
    <t>163-173</t>
  </si>
  <si>
    <t>Int. J. Autom. Comput.</t>
  </si>
  <si>
    <t>Usability engineering; Usability; Virtual reality; Assembly; Human computer interaction; Task performance; Assembly simulation; Information analysis; Multi-sensory feedback; Virtual environment (VE)</t>
  </si>
  <si>
    <t>ULA37P22</t>
  </si>
  <si>
    <t>Duncan, D.; Garner, R.; Zrantchev, I.; Ard, T.; Newman, B.; Saslow, A.; Wanserski, E.; Toga, A.W.</t>
  </si>
  <si>
    <t>Using Virtual Reality to Improve Performance and User Experience in Manual Correction of MRI Segmentation Errors by Non-experts</t>
  </si>
  <si>
    <t>10.1007/s10278-018-0108-5</t>
  </si>
  <si>
    <t>https://www.scopus.com/inward/record.uri?eid=2-s2.0-85050286716&amp;doi=10.1007%2fs10278-018-0108-5&amp;partnerID=40&amp;md5=c15068aaafd3d6ca83e58a39ededba54</t>
  </si>
  <si>
    <t>Segmentation of MRI scans is a critical part of the workflow process before we can further analyze neuroimaging data. Although there are several automatic tools for segmentation, no segmentation software is perfectly accurate, and manual correction by visually inspecting the segmentation errors is required. The process of correcting these errors is tedious and time-consuming, so we present a novel method of performing this task in a head-mounted virtual reality interactive system with a new software, Virtual Brain Segmenter (VBS). We provide the results of user testing on 30 volunteers to show the benefits of our tool as a more efficient, intuitive, and engaging alternative compared with the current method of correcting segmentation errors. © 2018, Society for Imaging Informatics in Medicine.</t>
  </si>
  <si>
    <t>97-104</t>
  </si>
  <si>
    <t>Publisher: Springer New York LLC</t>
  </si>
  <si>
    <t>virtual reality; Virtual Reality; Humans; controlled study; human; procedures; quality control; workflow; Virtual reality; adult; female; human experiment; male; article; clinical article; Image segmentation; Interactive system; User experience; prevention and control; software; Quality control; Magnetic resonance imaging; Magnetic Resonance Imaging; neuroimaging; Neuroimaging; nuclear magnetic resonance imaging; Errors; three-dimensional imaging; clinical competence; Clinical Competence; Imaging, Three-Dimensional; image processing; Image Processing, Computer-Assisted; anatomy and histology; Automatic tools; brain; Brain; brain mapping; Brain Mapping; diagnostic error; Diagnostic Errors; error; head; Head mounted virtual reality; Imaging; Imaging techniques; Improve performance; MRI; MRI segmentation; Segmentation; Segmentation error; volunteer; Workflow process</t>
  </si>
  <si>
    <t>SFDV57N7</t>
  </si>
  <si>
    <t>Suzuki, R.; Masai, K.; Sugimoto, M.</t>
  </si>
  <si>
    <t>ReallifeEngine: A Mixed Reality-Based Visual Programming System for SmartHomes</t>
  </si>
  <si>
    <t>ICAT-EGVE - Int. Conf. Artif. Real. Telexistence Eurographics Symp. Virtual Environ.</t>
  </si>
  <si>
    <t>978-303868083-3 (ISBN)</t>
  </si>
  <si>
    <t>10.2312/egve.20191287</t>
  </si>
  <si>
    <t>https://www.scopus.com/inward/record.uri?eid=2-s2.0-85122896768&amp;doi=10.2312%2fegve.20191287&amp;partnerID=40&amp;md5=c1482cb7a82f6adaa5bc1ac0ab7f9172</t>
  </si>
  <si>
    <t>The conveniences experienced by society have tremendously improved with the development of the Internet of Things (IoT). Among the affordances stemming from this innovation is an IoT concept called the SmartHome, which is already spreading even in general households. Despite this proliferation, however, ordinary users experience difficulty in performing the complex control and automation of IoT devices, thereby impeding their full exploitation of IoT benefits. These problems highlight the need for a system that enables general users to easily manipulate IoT devices. Correspondingly, this study constructed a visual programming system that facilitates IoT device operation. The system, which was developed on the basis of data obtained from various sensors in a SmartHome, employs mixed reality(MR) in enhancing the visualization of various data, eases the understanding of the positional relationship among devices, and smoothens the checking of execution results. We conducted an evaluation experiment wherein eight users were asked to test the proposed system, and we verified its usefulness on the basis of the time elapsed until the participants completed the programming of diverse IoT devices and a questionnaire intended to derive their subjective assessments. The result indicates that the proposed system makes it easy to understand the correspondence between the real world device and the node in the MR environment, and the connection between the sensors and the home appliances. On the other hand, it is negatively evaluated for operability. © 2019 The Author(s)</t>
  </si>
  <si>
    <t>105-112</t>
  </si>
  <si>
    <t>The Eurographics Association</t>
  </si>
  <si>
    <t>Journal Abbreviation: ICAT-EGVE - Int. Conf. Artif. Real. Telexistence Eurographics Symp. Virtual Environ.</t>
  </si>
  <si>
    <t>Data visualization; Users' experiences; Mixed reality; Smart homes; Internet of things; Affordances; Complex control; Computer programming; Control and automation; Device operations; Domestic appliances; Positional relationship; Programming system; Visual programming</t>
  </si>
  <si>
    <t>Kakehi Y.; Hiyama A.; Fellner D.W.; Hansmann W.; Purgathofer W.; Sillion F.</t>
  </si>
  <si>
    <t>ICAT-EGVE 2019 - 29th International Conference on Artificial Reality and Telexistence and 24th Eurographics Symposium on Virtual Environments</t>
  </si>
  <si>
    <t>8VH4FVKZ</t>
  </si>
  <si>
    <t>Tustón, J.J.; Manzano, S.; Fernández-Peña, F.</t>
  </si>
  <si>
    <t>Using multi-sensorial augmented reality in a museum's exhibition environment</t>
  </si>
  <si>
    <t>Jornadas Iberoam. Ing. Softw. Ing. Conocimiento, JIISIC - Held jointly Ecuadorian Conf. Softw. Eng., CEIS Conf. Softw. Eng. Appl. Control Autom. Syst., ISASCA</t>
  </si>
  <si>
    <t>978-151084396-7 (ISBN)</t>
  </si>
  <si>
    <t>https://www.scopus.com/inward/record.uri?eid=2-s2.0-85032363469&amp;partnerID=40&amp;md5=660e4767683210d8c10a90b8cf7f468a</t>
  </si>
  <si>
    <t>Augmented reality actually impacts the development of interactive environments in museums and general learning environments. This paper presents the results in the design of a multi-sensorial augmented reality experience. The novelty of the proposal resides in the capacity of interpreting the reality through the activation of electronic actuators. The software was encoded using Unity3D and the hardware includes the use of a mobile with Bluetooth communication with an Arduino. The so called app RACIE was implemented as a free open source solution which is described in this paper. An experiment was carried out for evaluating the acceptance of RACIE by using the Technology Acceptance Model. The results were satisfactory. In opinion of potential users, the proposal would increase interest in learning by visiting museums with this technology. Nevertheless, results are not conclusive and more research is needed since sociological point of view is determinant in this research.</t>
  </si>
  <si>
    <t>155-166</t>
  </si>
  <si>
    <t>Escuela Superior Politecnica de Chimborazo</t>
  </si>
  <si>
    <t>Journal Abbreviation: Jornadas Iberoam. Ing. Softw. Ing. Conocimiento, JIISIC - Held jointly Ecuadorian Conf. Softw. Eng., CEIS Conf. Softw. Eng. Appl. Control Autom. Syst., ISASCA</t>
  </si>
  <si>
    <t>Automation; Augmented reality; User experience; Museums; Computer aided instruction; Actuators; Engineering education; Open source software; Arduino; Bluetooth communications; Electronic actuators; Electronic actuators management; Enriched user experience; Exhibitions; General learning; Interactive Environments; Open-source solutions; Software engineering; Technology acceptance model</t>
  </si>
  <si>
    <t>Gomez O.S.; Espinosa E.</t>
  </si>
  <si>
    <t>XII Jornadas Iberoamericanas de Ingenieria de Software e Ingenieria del Conocimiento 2017, JIISIC 2017 - Held Jointly with the Ecuadorian Conference on Software Engineering, CEIS 2017 and the Conference on Software Engineering Applied to Control and Automation Systems, ISASCA 2017</t>
  </si>
  <si>
    <t>XMKNEBVW</t>
  </si>
  <si>
    <t>Ali, G.; Le, H.-Q.; Kim, J.; Hwang, S.-W.; Hwang, J.-I.</t>
  </si>
  <si>
    <t>Design of seamless multi-modal interaction framework for intelligent virtual agents in wearable mixed reality environment</t>
  </si>
  <si>
    <t>978-145037159-9 (ISBN)</t>
  </si>
  <si>
    <t>10.1145/3328756.3328758</t>
  </si>
  <si>
    <t>https://www.scopus.com/inward/record.uri?eid=2-s2.0-85069173185&amp;doi=10.1145%2f3328756.3328758&amp;partnerID=40&amp;md5=29caf4599720e0058100ba9c42524850</t>
  </si>
  <si>
    <t>In this paper, we present the design of a multimodal interaction framework for intelligent virtual agents in wearable mixed reality environments, especially for interactive applications at museums, botanical gardens, and similar places. These places need engaging and no-repetitive digital content delivery to maximize user involvement. An intelligent virtual agent is a promising mode for both purposes. Premises of framework is wearable mixed reality provided by MR devices supporting spatial mapping. We envisioned a seamless interaction framework by integrating potential features of spatial mapping, virtual character animations, speech recognition, gazing, domain-specific chatbot and object recognition to enhance virtual experiences and communication between users and virtual agents. By applying a modular approach and deploying computationally intensive modules on cloud-platform, we achieved a seamless virtual experience in a device with limited resources. Human-like gaze and speech interaction with a virtual agent made it more interactive. Automated mapping of body animations with the content of a speech made it more engaging. In our tests, the virtual agents responded within 2-4 seconds after the user query. The strength of the framework is flexibility and adaptability. It can be adapted to any wearable MR device supporting spatial mapping. © 2019 Association for Computing Machinery.</t>
  </si>
  <si>
    <t>47-52</t>
  </si>
  <si>
    <t>Animation; Mixed reality; User experience; Mixed-reality environment; Speech recognition; Mapping; Wearable technology; Arts computing; Automated mapping; Botanical gardens; Intelligent virtual agents; Interaction framework; Interactive applications; Multi-Modal Interactions; Object recognition; Potential features; Speech communication; Speech interaction</t>
  </si>
  <si>
    <t>JTEIAWRA</t>
  </si>
  <si>
    <t>Komlódi, A.; Józsa, E.; Hercegfi, K.; Kucsora, S.; Borics, D.</t>
  </si>
  <si>
    <t>Empirical usability evaluation of the Wii controller as an input device for the VirCA immersive virtual space</t>
  </si>
  <si>
    <t>Int. Conf. Cognitive Infocommunications, CogInfoCom</t>
  </si>
  <si>
    <t>978-145771806-9 (ISBN)</t>
  </si>
  <si>
    <t>https://www.scopus.com/inward/record.uri?eid=2-s2.0-80052880974&amp;partnerID=40&amp;md5=eb74bdecf4162f23ff6936cb29f9b37c</t>
  </si>
  <si>
    <t>Testing the usability of 3D immersive virtual environments presents several challenges that are not faced when evaluating 2D computer user interfaces. This paper describes the methodological lessons learned in the testing of the usability of the Wii input device in the 3D Virtual Collaboration Areana (VirCA, virca.hu) immersive virtual environment in an empirical formative study. A team of researchers at the Department of Ergonomics and Psychology at the Budapest University of Technology and Economics set out to test the Wiimote input device on basic navigation, object manipulation, and menu interaction tasks. The environment also included an abstract 3D emotion display object. This object was powered by an eto-motor modeling animal behavior developed by the ETOCOM team at the Computer and Automation Research Institute of the Hungarian Academy of Sciences in collaboration with the Department of Ethology, Etvs Lornd University. The study combined qualitative and quantitative methods to explore the usability of the interaction methods in the 3D environment. Three pilot and fourteen main study participants carried out two tasks in the 3D immersive environment after a brief training. Their behavior was observed and video-recorded. They were interviewed about their experience immediately after the interaction. The participants also filled out a demographic questionnaire, the Myers-Briggs Type Indicator (MBTI) personality type questionnaire, the Paper Folding Test (VZ-2) measuring spatial-visual ability through mental rotation tasks and the Reading the Mind in the Eyes Test (RMET). This paper summarizes the methods used in the study and recommendations for the evaluation for 3D immersive virtual environments. © 2011 Scientific Assoc Infocomm.</t>
  </si>
  <si>
    <t>Journal Abbreviation: Int. Conf. Cognitive Infocommunications, CogInfoCom</t>
  </si>
  <si>
    <t>Usability engineering; Virtual reality; Usability evaluation; Immersive; User interfaces; Immersive environment; Ergonomics; 3-D environments; Surveys; usability evaluation; Immersive virtual environments; Knobs; Interaction methods; Animal behavior; Automation research; Biology; Budapest University; Hungarians; immersive virtual space; Input devices; Mental rotation; Myers-Briggs Type Indicators; Object manipulation; Paper folding; Personality types; Quantitative method; Three dimensional; Virtual collaboration; Virtual spaces</t>
  </si>
  <si>
    <t>2011 2nd International Conference on Cognitive Infocommunications, CogInfoCom 2011</t>
  </si>
  <si>
    <t>VFRHHRW3</t>
  </si>
  <si>
    <t>Rico, M.; Ramírez, J.; Riofrío-Luzcando, D.; Berrocal-Lobo, M.</t>
  </si>
  <si>
    <t>A cost-effective approach for procedural training in virtual worlds</t>
  </si>
  <si>
    <t>Journal of Universal Computer Science</t>
  </si>
  <si>
    <t>0948695X (ISSN)</t>
  </si>
  <si>
    <t>https://www.scopus.com/inward/record.uri?eid=2-s2.0-85015658840&amp;partnerID=40&amp;md5=3ebb03195782764827c0231060ad8f04</t>
  </si>
  <si>
    <t>Virtual worlds are one of the most promising and interesting lines of research and development in e-learning. Also, the recent maturity of 3D virtual world platforms like Second Life or OpenSimulator has made it possible to deploy such systems at a low cost in schools, colleges or companies. Therefore, these virtual world platforms have enabled the development of cost-effective virtual laboratories. However, there are few empirical studies to support the educational value of Virtual Worlds for Procedural Training (VWPT), especially when they are equipped with automatic tutors. In this paper we present an empirical study that provides evidence in favor of the educational value of virtual worlds. To be precise, we describe the evaluation of a biotechnology VWPT implemented on top of OpenSimulator. We have implemented an automatic tutor within this virtual laboratory in order to supervise and guide students during task practice. This tutor is configurable and can be reused in different VWPTs. This facilitates the development of VWPTs. This virtual laboratory has been evaluated by domain experts (university professors) and students over a three-year period as part of a university course. The analysis of this evaluation has shown good results for usability, user satisfaction and perceived educational utility. It has also served to demonstrate that the virtual laboratory is resilient and reliable. This supports the applied technical approach. © J.UCS.</t>
  </si>
  <si>
    <t>208-232</t>
  </si>
  <si>
    <t>J. Univers. Comput. Sci.</t>
  </si>
  <si>
    <t>Publisher: IICM</t>
  </si>
  <si>
    <t>Virtual worlds; Biology and genetics; Computer-assisted instruction; OpenSimulator; Procedural training; Virtual realities</t>
  </si>
  <si>
    <t>JSDAEV53</t>
  </si>
  <si>
    <t>Seo, D.W.; Kim, H.; Kim, J.S.; Lee, J.Y.</t>
  </si>
  <si>
    <t>Hybrid reality-based user experience and evaluation of a context-aware smart home</t>
  </si>
  <si>
    <t>Computers in Industry</t>
  </si>
  <si>
    <t>01663615 (ISSN)</t>
  </si>
  <si>
    <t>10.1016/j.compind.2015.11.003</t>
  </si>
  <si>
    <t>https://www.scopus.com/inward/record.uri?eid=2-s2.0-84959263059&amp;doi=10.1016%2fj.compind.2015.11.003&amp;partnerID=40&amp;md5=f3d05702b6244cc3b91a762a40b99306</t>
  </si>
  <si>
    <t>A smart home is considered as a new environment that can apply the use of Internet-of-Things (IoT). For that reason, the realization of the smart home requires the seamless integration among humans, physical objects, and user interactions. However, this accomplishment is currently unrealistic and expensive, considering the need to construct different types of physical smart homes and the need to evaluate them through the various aspects of user experiences. Thus, virtual reality is widely used for the preliminary test and pre-evaluation. However, there is little work to systematically evaluate the user experiences such as usability, natural and intuitive interaction between human and physical objects, and usefulness. This paper proposes a hybrid reality-based user experience and evaluation of a context-aware smart home. The user experience is provided by the integration of egocentric virtual reality and exocentric augmented reality. Furthermore, to make a smart home environment more natural and realistic, a world-in-miniature (WIM) of the smart home has been constructed where various kinds of tangible and physical smart home activities are allowed for prototyping a number of appliances, sensors, and human-physical object interactions. To evaluate the proposed approach, both qualitative and quantitative experiments are performed and analyzed. The proposed approach aims to provide developers and end users or consumers a useful tool for understanding and experiencing the smart home environment. Prior to the development of a physical smart home environment, it is essential for developers and designers to validate smart home services regarding context and visual awareness. Furthermore, it must be used for consumers or future residents to evaluate the smart home such that developers provide more customer-oriented environment and capture related problems before constructing the home. © 2015 Elsevier B.V. All rights reserved.</t>
  </si>
  <si>
    <t>Comput Ind</t>
  </si>
  <si>
    <t>Publisher: Elsevier</t>
  </si>
  <si>
    <t>Automation; Virtual reality; Augmented reality; Intuitive interaction; Smart homes; Intelligent buildings; Hybrid reality; Internet of Things (IOT); Quantitative experiments; Seamless integration; Smart home services; User experience of smart home; Visualization and interaction; World in miniatures</t>
  </si>
  <si>
    <t>EAG9NZIQ</t>
  </si>
  <si>
    <t>Ochs, M.; Jain, S.; Pergandi, J.-M.; Blache, P.</t>
  </si>
  <si>
    <t>Toward an automatic prediction of the sense of presence in virtual reality environment</t>
  </si>
  <si>
    <t>HAI - Proc. Int. Conf. Hum.-Agent Interact.</t>
  </si>
  <si>
    <t>978-145035953-5 (ISBN)</t>
  </si>
  <si>
    <t>10.1145/3284432.3284452</t>
  </si>
  <si>
    <t>https://www.scopus.com/inward/record.uri?eid=2-s2.0-85060733796&amp;doi=10.1145%2f3284432.3284452&amp;partnerID=40&amp;md5=3c20b46d8ad4929396c3dbf4dfd1d432</t>
  </si>
  <si>
    <t>In human-agent interaction, one key challenge is the evaluation of the user’s experience. In the virtual reality domain, the sense of presence and co-presence, reflecting the psychological immersion of the user, is generally assessed through well-grounded subjective post-experience questionnaires. In this article, we aim at presenting a new way to automatically predict the sense of presence and co-presence of a user at the end of an interaction based on specific verbal and non-verbal behavioral cues automatically computed. A random forest algorithm has been applied on a human-agent interaction corpus collected in the specific context of a virtual environment developed to train doctors to break bad news to a virtual patient. The performance of the models demonstrate the capacity to automatically and accurately predict the level of presence and copresence, but also show the relevancy of the verbal and non-verbal behavioral cues as objective measures of presence. © 2018 Association for Computing Machinery.</t>
  </si>
  <si>
    <t>161-166</t>
  </si>
  <si>
    <t>Journal Abbreviation: HAI - Proc. Int. Conf. Hum.-Agent Interact.</t>
  </si>
  <si>
    <t>Virtual reality; Objective measure; Virtual-reality environment; Behavioral cues; Sense of presence; Sense of presences; Surveys; Decision trees; Human agent interactions; Virtual patient; Virtual patients; Automatic prediction; Forecasting; Random forest algorithm</t>
  </si>
  <si>
    <t>HAI 2018 - Proceedings of the 6th International Conference on Human-Agent Interaction</t>
  </si>
  <si>
    <t>X7GAG9RM</t>
  </si>
  <si>
    <t>Sanchis-Font, R.; Castro-Bleda, M.J.; González, J.-Á.</t>
  </si>
  <si>
    <t>Applying Sentiment Analysis with Cross-Domain Models to Evaluate User eXperience in Virtual Learning Environments</t>
  </si>
  <si>
    <t>03029743 (ISSN); 978-303020520-1 (ISBN)</t>
  </si>
  <si>
    <t>10.1007/978-3-030-20521-8_50</t>
  </si>
  <si>
    <t>https://www.scopus.com/inward/record.uri?eid=2-s2.0-85067512228&amp;doi=10.1007%2f978-3-030-20521-8_50&amp;partnerID=40&amp;md5=4c17f34f7e8766564317fb862007da62</t>
  </si>
  <si>
    <t>Virtual Learning Environments are growing in importance as fast as e-learning is becoming highly demanded by universities and students all over the world. This paper investigates how to automatically evaluate User eXperience in this domain. Two Learning Management Systems have been evaluated, one system is an ad-hoc system called “Conecto” (in Spanish and English languages), and the other one is an open-source Moodle personalized system (in Spanish). We have applied machine learning tools to all the comments given by a total of 133 users (37 English speakers and 96 Spanish speakers) to obtain their polarity (positive, negative, or neutral) using cross-domain models trained with a corpus of a different domain (tweets for each language) and general models for the language. The obtained results are very promising and they give an insight to keep going the research of applying sentiment analysis tools on User eXperience evaluation. This is a pioneering idea to provide a better and accurate understanding on human needs in the interaction with Virtual Learning Environments. The ultimate goal is to develop further tools of automatic feed-back of user perception for designing Virtual Learning Environments centered in user’s emotions, beliefs, preferences, perceptions, responses, behaviors and accomplishments that occur before, during and after the interaction. © 2019, Springer Nature Switzerland AG.</t>
  </si>
  <si>
    <t>609-620</t>
  </si>
  <si>
    <t>11506 LNCS</t>
  </si>
  <si>
    <t>Springer Verlag</t>
  </si>
  <si>
    <t>Virtual reality; Data mining; E-learning; Learning systems; Behavioral research; User experience; User experience evaluations; Computer aided instruction; User eXperience; Machine learning; Applied machine learning; Cross-domain models; English languages; Learning management system; Learning Management Systems; Neural networks; Open systems; Polarity; Sentiment analysis; Virtual learning environments; Virtual Learning Environments</t>
  </si>
  <si>
    <t>Joya G.; Rojas I.; Catala A.</t>
  </si>
  <si>
    <t>JJAVR4VU</t>
  </si>
  <si>
    <t>Fiasca, L.; Boncagni, L.; Centioli, C.; Iannone, F.; Panella, M.; Vitale, V.; Zacearian, L.</t>
  </si>
  <si>
    <t>Introducing a vtrtualization technology for the ftu plasma control system</t>
  </si>
  <si>
    <t>Fusion. Sci. Technol.</t>
  </si>
  <si>
    <t>15361055 (ISSN)</t>
  </si>
  <si>
    <t>10.13182/FST09-A9040</t>
  </si>
  <si>
    <t>https://www.scopus.com/inward/record.uri?eid=2-s2.0-69549098187&amp;doi=10.13182%2fFST09-A9040&amp;partnerID=40&amp;md5=659265d57995a420d6067d5308520558</t>
  </si>
  <si>
    <t>The Feedback control system running at FTU has been recently improved by the adoption of an ObjectOriented model, obtaining many advantages regarding the software extensibility, re-usability and testing capabilities. This new structure has been ported into a virtual environment using the QEMUprocessor emulator, in order to simulate, as close as possible to the hardware level, the control system behavior during the real experiment. This new approach introduces the advantage of decreasing dramatically the risks related to coding errors and operating system bugs arising at runtime, whereas it still supports the real-time control features. Moreover, the Real Time Workshop fast controller prototyping interface eliminates the model-translation related problems thanks to its automatic C code generation tools. The entire project flow is now completed: using Simulink, it is possible to design the diagram implementing a new control law, then synthesize the controller library. At this point, we can transfer the new library to the virtual machine, simulate the plasma control experiment in an open-loop configuration, and finally compare the simulation results to those from the past experiments, for a consistency check. The proposed framework is remotely managed by a new Matlab interface. After a satisfying simulation/validation of the new control model, the module can be easily transferred to the control system and hooked up to the real experiment, where it can operate in closed-loop. In this paper, we illustrate the advantages of this new approach and report on some experimental tests where the actual experimental data is compared to the simulations provided by the above-mentioned virtual environment.</t>
  </si>
  <si>
    <t>994-997</t>
  </si>
  <si>
    <t>American Nuclear Society</t>
  </si>
  <si>
    <t>Issue: 2 Journal Abbreviation: Fusion. Sci. Technol.</t>
  </si>
  <si>
    <t>Virtual reality; Adaptive control systems; Software testing; Controllers; Digital libraries; Program debugging; Consistency checks; Automatic programming; Control theory; Real time control; Automatic C-code generation; C (programming language); Coding errors; Computer software reusability; Control systems; Experimental test; Feedback control; MATLAB; Object oriented model; Open-loop configuration; Plasma confinement; Plasma control systems; Real time workshop; Software extensibilities</t>
  </si>
  <si>
    <t>Fusion Science and Technology</t>
  </si>
  <si>
    <t>37YJ4987</t>
  </si>
  <si>
    <t>Wroblewski, D.; Francis, B.A.; Sadun, A.; Vakili, G.; Chopra, V.</t>
  </si>
  <si>
    <t>Testing of visual field with virtual reality goggles in manual and visual grasp modes</t>
  </si>
  <si>
    <t>BioMed Research International</t>
  </si>
  <si>
    <t>23146133 (ISSN)</t>
  </si>
  <si>
    <t>10.1155/2014/206082</t>
  </si>
  <si>
    <t>https://www.scopus.com/inward/record.uri?eid=2-s2.0-84904104559&amp;doi=10.1155%2f2014%2f206082&amp;partnerID=40&amp;md5=a187bb38d79fa5d330290b152293526c</t>
  </si>
  <si>
    <t>Automated perimetry is used for the assessment of visual function in a variety of ophthalmic and neurologic diseases. We report development and clinical testing of a compact, head-mounted, and eye-tracking perimeter (VirtualEye) that provides a more comfortable test environment than the standard instrumentation. VirtualEye performs the equivalent of a full threshold 24-2 visual field in two modes: (1) manual, with patient response registered with a mouse click, and (2) visual grasp, where the eye tracker senses change in gaze direction as evidence of target acquisition. 59 patients successfully completed the test in manual mode and 40 in visual grasp mode, with 59 undergoing the standard Humphrey field analyzer (HFA) testing. Large visual field defects were reliably detected by VirtualEye. Point-by-point comparison between the results obtained with the different modalities indicates: (1) minimal systematic differences between measurements taken in visual grasp and manual modes, (2) the average standard deviation of the difference distributions of about 5 dB, and (3) a systematic shift (of 4-6 dB) to lower sensitivities for VirtualEye device, observed mostly in high dB range. The usability survey suggested patients' acceptance of the head-mounted device. The study appears to validate the concepts of a head-mounted perimeter and the visual grasp mode. © 2014 Dariusz Wroblewski et al.</t>
  </si>
  <si>
    <t>BioMed Res. Int.</t>
  </si>
  <si>
    <t>Publisher: Hindawi Publishing Corporation</t>
  </si>
  <si>
    <t>virtual reality; Adult; Humans; Middle Aged; controlled study; human; performance; procedures; adult; article; aged; eye movement; glaucoma; perimetry; visual field; Visual Field Tests; Visual Fields; questionnaire; computer interface; pathophysiology; physiology; User-Computer Interface; head movement; Aged; middle aged; Aged, 80 and over; very elderly; Glaucoma; eye fixation; gaze; visual field defect; visual stimulation; Calibration; animal; Animals; automated perimeter; calibration; diplopia; eye protective device; Eye Protective Devices; eye tracking perimeter; Fixation, Ocular; Humphrey perimeter; luminance; luminescence; Luminescence; major clinical study; Mice; mouse; pathology; Questionnaires; retina; Retina</t>
  </si>
  <si>
    <t>WSC2NM6X</t>
  </si>
  <si>
    <t>Tost, D.; von Barnekow, A.; Felix, E.; Pazzi, S.; Puricelli, S.; Bottiroli, S.</t>
  </si>
  <si>
    <t>Early detection of cognitive impairments with the smart ageing serious game</t>
  </si>
  <si>
    <t>18650929 (ISSN); 978-366248644-3 (ISBN)</t>
  </si>
  <si>
    <t>10.1007/978-3-662-48645-0_16</t>
  </si>
  <si>
    <t>https://www.scopus.com/inward/record.uri?eid=2-s2.0-84951968019&amp;doi=10.1007%2f978-3-662-48645-0_16&amp;partnerID=40&amp;md5=99354f3524aca8402e8da8a81728fa20</t>
  </si>
  <si>
    <t>This paper presents the design and usability validation of a telematic test aimed at the early detection of Mild Cognitive Impairments in persons ageing between 50 and 80. The test represents a 3D domestic environment in which users perform 5 daily life activities that involve various cognitive skills: short-term and mid-term memory, attention, executive functions and spatial orientation. The test is also aimed at assessing cognitive impairments in persons already diagnosed or having neurodegenerative dementia. In order to make it usable by seniors without previous computer literacy, the test integrates different accessibility features: automatic navigation, assisted selection and feedback mechanisms. The usability of the system has been tested with a set of target users. The results show that users are able to understand the virtual environment and the tasks. In addition, they learn very quickly to manoeuvring in it. Moreover, they find it attractive. © Springer-Verlag Berlin Heidelberg 2015.</t>
  </si>
  <si>
    <t>183-195</t>
  </si>
  <si>
    <t>Diagnosis; Cognitive impairment; Serious games; Virtual reality; Patient rehabilitation; Screening; 3D serious games; Automatic navigation; Daily life activities; Domestic environments; Feedback mechanisms; Mild cognitive impairments; Spatial orientations; Wireless telecommunication systems</t>
  </si>
  <si>
    <t>Fardoun H.M.; Alghazzawi D.M.; Penichet V.M.R.</t>
  </si>
  <si>
    <t>M5QUWAWH</t>
  </si>
  <si>
    <t>Arroyo, I.; Giné, F.; Roig, C.; Granollers, T.</t>
  </si>
  <si>
    <t>Analyzing Google Earth application in a heterogeneous commodity cluster display wall</t>
  </si>
  <si>
    <t>10.1007/s11042-015-2859-z</t>
  </si>
  <si>
    <t>https://www.scopus.com/inward/record.uri?eid=2-s2.0-84940399006&amp;doi=10.1007%2fs11042-015-2859-z&amp;partnerID=40&amp;md5=15a9c7d40f857984aa1e041675ce8d85</t>
  </si>
  <si>
    <t>Nowadays, clusters of interconnected workstations have become a common solution for powering large composite displays, or “cluster display walls”, to visualize high resolution images. Our paper is focused on analyzing a specific cluster display wall developed by Google, named Liquid Galaxy, made up of heterogeneous commodity hardware with different degrees of heterogeneity, running master-slave (Google Earth) and client-server (Quake III Arena) multimedia applications. With this in mind, we define and test different scenarios, representing the behavior of many kinds of users. Our results show that the CPU, memory and network are good enough to execute the client-server application, while, depending on the user behavior, the external network constitutes the bottleneck of the system in Google Earth. So, the master-slave application has focused our attention. Likewise, in order to analyze the users’ point of view when interacting with Google Earth in the Liquid Galaxy, we define a new metric, named Visualization Rate (VR), which enables a relationship to be established between the user experience and the platform performance. In order to set the minimum acceptable value of the VR parameter according to users perception, we carried out different tests with real users. Then, this minimum threshold was compared with the VR value obtained from the automated benchmarking performed afterwards on clusters with different heterogeneity degrees. Finally, we analyzed the VR trend when the Liquid Galaxy is scaled from 3 up to 8 nodes in both the homogeneous and heterogeneous architectures to study the scalability of the system. © 2015, The Author(s).</t>
  </si>
  <si>
    <t>11391-11416</t>
  </si>
  <si>
    <t>Behavioral research; Benchmarking; Client server; Client-server; Client-server applications; Cluster display wall; Galaxies; Google Earth; Google earths; Heterogeneous architectures; Liquid galaxy; Liquids; Master slave; Master-slave; Master-slave application; Multimedia applications</t>
  </si>
  <si>
    <t>ATPQB54F</t>
  </si>
  <si>
    <t>Shirehjini, A.A.N.; Nejad, F.S.; Saniee-Monfared, G.; Semsar, A.; Shirmohammadi, S.</t>
  </si>
  <si>
    <t>Mental model development using collaborative 3D virtual environments</t>
  </si>
  <si>
    <t>03029743 (ISSN); 978-331939861-7 (ISBN)</t>
  </si>
  <si>
    <t>10.1007/978-3-319-39862-4_26</t>
  </si>
  <si>
    <t>https://www.scopus.com/inward/record.uri?eid=2-s2.0-84978877024&amp;doi=10.1007%2f978-3-319-39862-4_26&amp;partnerID=40&amp;md5=84b8a3c45e7d71803bca2af2cfdf5388</t>
  </si>
  <si>
    <t>Smart environments are complex systems encompassing multitude of devices with complex interconnections and interactions. User must not only be able to figure out the devices’ functionalities, but also understand the architectural and semantic relations between various components. Providing such information leads to better understanding and user satisfaction, if users get the appropriate mental models. One way to train users about such smart environments is Interactive Realistic Virtual Reality based Simulations (IRVRS): multimedia rich collaborative 3D virtual environments. IRVRS also facilitate easy and inexpensive access to population masses, thus they can be used for conducting large scale user experience studies. Our contribution in this work is the study of the effect of short-time experience with IRVRS on mental models of novice users of smart homes. We use a web-based IRVRS to investigate to which extent it could affect virtual smart home users’ mental models, and we used Think Aloud and two types of Card Sorting methods to assess how much subjects mental models developed. Our results show that IRVRS can potentially be effective in creating the correct mental models for users. © Springer International Publishing Switzerland 2016.</t>
  </si>
  <si>
    <t>279-290</t>
  </si>
  <si>
    <t>Automation; Virtual reality; Semantics; Evaluation; Human computer interaction; Intelligent buildings; Cognitive systems; 3D web-based smart home; Card sorting; Card-sorting; Mental model; Think aloud; Web based; Websites</t>
  </si>
  <si>
    <t>Streitz N.; Markopoulos P.</t>
  </si>
  <si>
    <t>549V4HUP</t>
  </si>
  <si>
    <t>Li, J.; Cho, I.; Wartell, Z.</t>
  </si>
  <si>
    <t>Evaluation of 3D virtual cursor offset techniques for navigation tasks in a multi-display virtual environment</t>
  </si>
  <si>
    <t>IEEE Symp. D User Interfaces, DUI - Proc.</t>
  </si>
  <si>
    <t>978-146736886-5 (ISBN)</t>
  </si>
  <si>
    <t>10.1109/3DUI.2015.7131727</t>
  </si>
  <si>
    <t>https://www.scopus.com/inward/record.uri?eid=2-s2.0-84939178645&amp;doi=10.1109%2f3DUI.2015.7131727&amp;partnerID=40&amp;md5=0f3057f9c5b639f318364d7dc6e9cb94</t>
  </si>
  <si>
    <t>Extending the position of a 3D virtual cursor that represents the location of a physical tracking input device in the virtual world often enhances efficiency and usability of 3D user interactions. Most previous studies, however, tend to focus on evaluating cursor offset techniques for specific types of interactions, mainly object selection and manipulation. Furthermore, not many studies address cursor offset techniques for multi-display virtual environments, such as a Cave Automatic Virtual Environment (CAVE), which require different directions of the cursor offset for different displays. This paper presents two formal user studies that evaluate effects of varying offset techniques on navigation tasks in a CAVE system. The first study compares four offset techniques: no offset, fixed-length offset, nonlinear offset and linear offset. The results indicate that the linear offset technique outperforms other techniques for exocentric travel tasks. The second study investigates the influence of three different offset lengths in the linear offset technique on the same task. © 2015 IEEE.</t>
  </si>
  <si>
    <t>59-66</t>
  </si>
  <si>
    <t>Journal Abbreviation: IEEE Symp. D User Interfaces, DUI - Proc.</t>
  </si>
  <si>
    <t>Virtual reality; Virtual addresses; User interfaces; User interaction; Cave automatic virtual environments; Caves; Navigation; Knobs; virtual environments; Input devices; 3D navigation; CAVE; cursor offset; input devices; Navigation tasks; Object selection; Three dimensional displays; Virtual cursors</t>
  </si>
  <si>
    <t>Lindeman R.; Steinicke F.; Thomas B.</t>
  </si>
  <si>
    <t>2015 IEEE Symposium on 3D User Interfaces, 3DUI 2015 - Proceedings</t>
  </si>
  <si>
    <t>QB7LGEEJ</t>
  </si>
  <si>
    <t>Hu, H.-C.; Chang, H.-L.; Shih, Y.-C.</t>
  </si>
  <si>
    <t>The effectiveness of applying virtual reality to educational purpose</t>
  </si>
  <si>
    <t>Proc. Int. Conf. Electron. Bus. (ICEB)</t>
  </si>
  <si>
    <t>16830040 (ISSN)</t>
  </si>
  <si>
    <t>https://www.scopus.com/inward/record.uri?eid=2-s2.0-85021769262&amp;partnerID=40&amp;md5=4ae93af47cb22155b97085ae6ebbf815</t>
  </si>
  <si>
    <t>Research Motivation The purpose of this thesis is to build a model to examine the impacts of subjects who experienced the virtual reality system made by Taiwan's National Palace Museum and make a proof that apply virtual reality on museum exhibition will achieve the expected benefits. The beginning of research on virtual reality is starting from psychological therapy. For the purpose of knowing what effects virtual reality has and why virtual reality is effective, many researchers devoted to this subject related to the concept of presence [1]. In the past decades, the researches on presence are adequate and covers many dimensions: the cause of presence, the category of presence, measuring presence, the outcome of presence, experimental design about understanding or measuring the presence, questionnaire design. However, what other fields that virtual reality can be applied in? what are the details about actual utilizing virtual reality in a specific field? The researches on this subjects are insufficient. For example, there was a research talking about applying virtual reality to learning purpose is potential if the system can generate a high presence virtual environment, but it did not actually prove it for real world. This paper, with Taiwan's National Palace Museum's virtual reality system, we will develop a model to examine the impacts of technical and task factors on presence in virtual reality museum exhibitions and through the questionnaire to evaluate the subject's performances. For knowing using virtual reality in museum exhibitions was valuable or not, we listed the three main targets. These targets means after subjects experienced the virtual reality, it would be achieved at least one of the following benefits. the first one, enhance the subjects' willingness of joining the exhibitions, the second, increase the interests of the exhibitions and the last, improve the knowledge of artifacts in the exhibitions. Overall, we would know whether the virtual reality of museum exhibitions could produce the expected outcomes. If not, how to adjust the technical and task factors and improve the system is the question we try to answer. Research Objective Based on the past experiences, the visitors of museums could be divided into two types. The persons have been very interested in the artifacts or the experts had related professional background knowledge. Another type was the persons who just went for fun or felt curiosity but did not really interested in the contents. For giving the first type visitors a better experience and enhancing the interests of second type visitors, Taiwan's National Palace Museum had been starting its digital plan. The plan has been executed for several years and there have been many positive results and feedbacks. In recent years, the potential of virtual reality took the museum' s fancy and the museum tried to develop a museum exhibition virtual reality. Taiwan's National Palace Museum developed a virtual reality system for its digital plan. The virtual environment includes artifacts like jade cabbage, paintings and script of ancient poetry. The subjects wear head-mounted display(HMD), hands with the controllers and broadcast the introduction of artifacts continuously. There is a little space subjects can walk around and the scenes in the virtual environment is just like visiting an exhibition in the museum. In the virtual environment with the viewpoint of the subject, the subject can see that their right hand with white gloves and left hand with a flashlight. There are two ways that the subject can control the virtual environment and every action represents the different interactions. Controller on the right hand corresponds to the virtual environment is the right hand wearing the white gloves. The controller has a button, when press the button direct to the specific artifacts, it means "grab" the artifacts if the thing can be picked up. If the artifacts in the virtual environment cannot be picked up, such as painting and script of poetry, pressing the button will not give any response. A subject can use right hand to pick up the jade cabbage and watch it in full view. The controller on the left hand corresponds to the virtual environment is the left hand with the flashlight. A subject can use the flashlight to scan the paintings or scripts, and it represents the subject press the button on the left hand controller. The artifacts scanned will become full-screen in front of the subjects, so subject can see the details. In order to know the outcomes of the museum exhibition virtual reality, we are going to build a model to figure it out. Therefore, we are going to find out the key factors that contributed to the presence and relationship between these variables and presence. Through the decades, the researches on finding out the factors that affects to presence was sufficient and many researchers tried to categorize these factors. Thus, there were so many taxonomies but some of them still had commonality. We use the Sheridan's (1992) taxonomy to categorized these variables into three groups, technological, task- or context-based and user characteristics or individual. Technological and task-based view are focus on the system level. Technological view focus on how the virtual reality design affects the presence. Task-based view emphasize what contexts or tasks will contribute to presence. Except the technological and task-based variables mentioned above, individual differences are important to presence. The variances between individuals are huge and complex, including differences of personal characteristics, attitude toward to the technology, tendencies of paying attention or engaging in the virtual environment. it is difficult to take these views all. Thus, this paper will concentrate on system level, point in technological and task-based factors and examine the impacts of these factors. Presence is classified into personal presence, environmental presence, and social presence [2]. For the contexts of Taiwan's National Palace Museum virtual reality, there did not include the element of social presence. For the reason that this paper just separated the presence into personal and environmental presence. We have three expected outcomes of this museum exhibition virtual reality, increasing the visitors' interests, improving the experience and learn more about the artifacts than before. Through the model, we want to know whether the system achieve these targets. The measurement is according to questionnaires fulfilled by subjects after they experienced the virtual reality. The measurement not only valid the model but also evaluate subjects' performance and the virtual reality can fulfill the expected outcomes or not. The details of the model will discuss in research framework paragraph. Model see the following Figure 1.{table presented} Literature Review In the past researches, there were so many factors contribute to presence, and many researchers try to categorize these factors. Sheridan (1992) identifies five factors contribute to presence [3]. Steuer, J. (1992) categorized three of them as technological factors: the extent of sensory information, control of sensors relative to environment, and the ability to modify the physical environment [4]. The other two are task-, or context-based: task difficulty, and degree of automation [3]. Zeltzner (1992) also provides three technological variables: autonomy (a qualitative measure of the ability of a computational model to act and react to simulated events and stimuli), interaction (the degree of access to model parameters at runtime), and presence (bandwidth of sensation) [5]. Naimark (1992) provides a six-category factors for realspace imaging and the taxonomy also from a technological view [6]. The definition of term "presence" is related to wide fields of researches. Lombard and Ditton identified six different explanations of presence: social richness, realism, transportation, immersion, social actor within medium, medium as actor [7]. Schloerb separated the presence into subjective presence and objective presence [8]. Heeter distinguishes between three different types of presence: personal presence, a measure of the extent to which the person feels like he or she is part of the virtual environment; social presence, refers to the extent to which other beings (living or synthetic) also exist in the virtual environment; environmental presence, refers to the extent to which the environment itself acknowledges and reacts to the person in the virtual environment [2]. There are still existing other researches about defining the nature of presence. Although these theories do not conflict, we have to pick one or converge approach some theories together when it is necessary to measuring presence. This paper uses the Heeter's definition, differentiate personal presence, social presence and environmental presence. The measurement of presence in this paper is questionnaire. The presence questionnaire has been developed for several years and many of them were passed the validity test. So far we sort out the presence questionnaire and classified the questions to personal or environmental presence. The following are the presence questions we are going to use it to our questionnaire [12] [13] [14]. Personal Presence (1) I was aware of the world.</t>
  </si>
  <si>
    <t>44-47</t>
  </si>
  <si>
    <t>CEUR-WS</t>
  </si>
  <si>
    <t>Journal Abbreviation: Proc. Int. Conf. Electron. Bus. (ICEB)</t>
  </si>
  <si>
    <t>Virtual reality system; Virtual reality; Helmet mounted displays; Education; E-learning; Electronic commerce; User experience; Museums; Controllers; Surveys; Virtual environment; Presence; Computation theory; Head mounted displays; Exhibitions; Buildings; Exhibition; Flashlights; Individual Differences; Museum; Personal characteristics; Presence measurement; Presses (machine tools); Professional backgrounds; Silicate minerals; Taxonomies; Technological factors; User experiences</t>
  </si>
  <si>
    <t>Peng L.</t>
  </si>
  <si>
    <t>Proceedings of the International Conference on Electronic Business (ICEB)</t>
  </si>
  <si>
    <t>MH6GCJKQ</t>
  </si>
  <si>
    <t>Valentina, R.; Ruppert, M.; Nenninger, P.; Mendoza, F.</t>
  </si>
  <si>
    <t>Human machine interface for Virtual Prototyping of Industrial Instruments</t>
  </si>
  <si>
    <t>IEEE Int. Conf. Ind. Informatics (INDIN)</t>
  </si>
  <si>
    <t>19354576 (ISSN); 978-147990752-6 (ISBN)</t>
  </si>
  <si>
    <t>10.1109/INDIN.2013.6622894</t>
  </si>
  <si>
    <t>https://www.scopus.com/inward/record.uri?eid=2-s2.0-84889072589&amp;doi=10.1109%2fINDIN.2013.6622894&amp;partnerID=40&amp;md5=6c23a4734b3aba1798b6386187263000</t>
  </si>
  <si>
    <t>Instrumentation is an important part in the industrial automation domain as it is fundamentally required for process control loops. Virtual Prototyping (VP) as prime technology is considered as a novel approach to aid in the development Industrial Instruments. However, using state-of-the-art VP technologies requires a high degree of expertise, thereby limiting its usability among multi-disciplinary teams. This paper proposes a new approach for easing the use of VP technologies among different domain experts. It provides common grounds for domain experts to productively interact and share knowledge already in early stages of development. This is done by extending an existing virtual prototype of an Industrial Instrument with an integrated interfacing methodology. In this paper, the design, implementation, and integration of a custom HMI for an industrial temperature transmitter instrument are presented. This includes the verification and validation of the VP-enhanced development process. The presented evaluation shows the encapsulation of the complexity of Virtual Platform-based development process to enable agile development of Industrial Instruments. © 2013 IEEE.</t>
  </si>
  <si>
    <t>270-275</t>
  </si>
  <si>
    <t>Journal Abbreviation: IEEE Int. Conf. Ind. Informatics (INDIN)</t>
  </si>
  <si>
    <t>Virtual reality; Industry; Human Machine Interface; Virtual prototyping; Graphical user interfaces; Graphical user interfaces (GUI); Graphical User Interface (GUI); Human Machine Interface (HMI); Information science; Instruments; System Level Modeling; System-level modeling; Virtual platform; Virtual Platform; Virtual Prototyping</t>
  </si>
  <si>
    <t>IEEE International Conference on Industrial Informatics (INDIN)</t>
  </si>
  <si>
    <t>5VTREQSX</t>
  </si>
  <si>
    <t>Deotale, P.; Hsieh, S.-J.</t>
  </si>
  <si>
    <t>Usability evaluation of a problem solving environment for automated system integration education using eye-tracking</t>
  </si>
  <si>
    <t>ASEE Annu. Conf. Expos. Conf. Proc.</t>
  </si>
  <si>
    <t>21535965 (ISSN); 978-087823241-3 (ISBN)</t>
  </si>
  <si>
    <t>https://www.scopus.com/inward/record.uri?eid=2-s2.0-85029106523&amp;partnerID=40&amp;md5=fd908075e854f2c9aab459653a7d54bc</t>
  </si>
  <si>
    <t>Research suggests that realistic practice using authentic learning environments leads to better transfer of skills. Based upon input from industry engineers with expertise in designing and building automated systems, two problem solving environments (PSEs) were developed. Each PSE provides a virtual environment for building, testing, and validating designs for a process to be automated. The user is presented a toolbox containing equipment and building blocks of automation such as sensors and actuators. The PSEs support students in design problem-solving activities such as (1) reviewing the problem, (2) understanding the process to be automated, (3) line balancing, (4) layout, (5) simulation, and (6) cost analysis. This paper presents preliminary results from a usability evaluation of one of the PSEs. The evaluation utilized a Facelab desktop mounted eye-tracking system. Users' eye movements were tracked using a camera and sensors to determine gaze direction and fixations. The data collected from the evaluation was used to determine if use of visual cues improved the usability of the PSE. Results suggest that use of visual cues for gaze direction improved the usability of the PSE application, based on faster task completion times and improved navigability. © 2012 American Society for Engineering Education.</t>
  </si>
  <si>
    <t>American Society for Engineering Education</t>
  </si>
  <si>
    <t>Journal Abbreviation: ASEE Annu. Conf. Expos. Conf. Proc.</t>
  </si>
  <si>
    <t>Usability engineering; Automation; Virtual reality; Usability evaluation; Eye movements; Computer aided instruction; Engineering education; Sensors and actuators; Authentic learning environment; Automated systems; Building blockes; Design problem solving; Eye tracking systems; Problem solving; Problem solving environments</t>
  </si>
  <si>
    <t>ASEE Annual Conference and Exposition, Conference Proceedings</t>
  </si>
  <si>
    <t>Y3XQ9FQQ</t>
  </si>
  <si>
    <t>Ng, L.X.; Ng, J.; Tang, K.T.W.; Li, L.; Rice, M.; Wan, M.</t>
  </si>
  <si>
    <t>Using visual intelligence to automate maintenance task guidance and monitoring on a head-mounted display</t>
  </si>
  <si>
    <t>978-145037235-0 (ISBN)</t>
  </si>
  <si>
    <t>10.1145/3373724.3373727</t>
  </si>
  <si>
    <t>https://www.scopus.com/inward/record.uri?eid=2-s2.0-85081092342&amp;doi=10.1145%2f3373724.3373727&amp;partnerID=40&amp;md5=47037ef53032efc0ca45e955787889a6</t>
  </si>
  <si>
    <t>Maintenance is a required process in many commercial domains. Commonly, paper-based instruction manuals are digitised to improve accessibility to maintenance information. Among the different forms of digital media, augmented reality (AR) combined with machine learning has the potential to provide real-time user guidance and interaction. In this paper, we present an Augmented Reality Visual Intelligence (ARVI) framework, which combines visual perception with cognitive task reasoning to monitor user performance and provide contextualised guidance for maintenance tasks. The framework is implemented in Microsoft Hololens for a wheel removal operation. The implemented software can recognise aspects of the environment, objects and a user's hands, as well as infer the task being completed. The evaluation of visual perception models for object detection using a single task video for training obtained relatively high F1 scores, and a small-scale usability study reported some positive feedback on the application development. © 2019 Association for Computing Machinery.</t>
  </si>
  <si>
    <t>70-75</t>
  </si>
  <si>
    <t>Augmented reality; Helmet mounted displays; Digital storage; Maintenance; Street traffic control; Application development; Automated task guidance; Automated tasks; Cognitive visual intelligence; Head mounted displays; Head-mounted displays; Instruction manuals; Maintenance information; Object detection; Robotics; Task monitoring; Vision; Visual intelligence; Visual perception models</t>
  </si>
  <si>
    <t>EMGQUZST</t>
  </si>
  <si>
    <t>Lünenburger, L.; Wellner, M.; Banz, R.; Colombo, G.; Riener, R.</t>
  </si>
  <si>
    <t>Combining immersive virtual environments with robot-aided gait training</t>
  </si>
  <si>
    <t>IEEE Int. Conf. Rehabil. Rob., ICORR</t>
  </si>
  <si>
    <t>1424413206 (ISBN); 978-142441320-1 (ISBN)</t>
  </si>
  <si>
    <t>10.1109/ICORR.2007.4428459</t>
  </si>
  <si>
    <t>https://www.scopus.com/inward/record.uri?eid=2-s2.0-48349092016&amp;doi=10.1109%2fICORR.2007.4428459&amp;partnerID=40&amp;md5=6feaf210dfc5a5dba245454014a3dc85</t>
  </si>
  <si>
    <t>While robotic rehabilitation devices are gaining popularity in research and clinical use, a possible drawback of these devices is the reduced physical interaction between the therapist and the patient compared to manual training. To compensate for this lack, the device has to assess the patient's movements and provide (bio-)feedback to the patient. Furthermore, it could deliver instructions and increase motivation. The design and implementation of an immersive virtual environment for robot-assisted gait training are described that delivers feedback and increases motivation. Subjects can navigate through exchangeable virtual environments by modulating their performance of the left and right leg. Preliminary tests show usability with control subjects. Clinical tests are still required to show applicability in the clinical routine and to test for therapeutic efficacy. © 2007 IEEE.</t>
  </si>
  <si>
    <t>421-424</t>
  </si>
  <si>
    <t>Journal Abbreviation: IEEE Int. Conf. Rehabil. Rob., ICORR</t>
  </si>
  <si>
    <t>Motivation; Virtual environments; Automation; Virtual reality; Patient rehabilitation; Testing; Machine design; Immersive virtual environments; Robotics; Robots; Immersive virtual environment; Clinical routine; Clinical testing; Clinical uses; Gait training; International conferences; Physical interactions; Rehabilitation robotics; Robotic rehabilitation</t>
  </si>
  <si>
    <t>2007 IEEE 10th International Conference on Rehabilitation Robotics, ICORR'07</t>
  </si>
  <si>
    <t>K6QDV97A</t>
  </si>
  <si>
    <t>Muñoz, A.; Mahiques, X.; Solanes, J.E.; Martí, A.; Gracia, L.; Tornero, J.</t>
  </si>
  <si>
    <t>Mixed reality-based user interface for quality control inspection of car body surfaces</t>
  </si>
  <si>
    <t>10.1016/j.jmsy.2019.08.004</t>
  </si>
  <si>
    <t>https://www.scopus.com/inward/record.uri?eid=2-s2.0-85072564959&amp;doi=10.1016%2fj.jmsy.2019.08.004&amp;partnerID=40&amp;md5=49c2b97051dfea3ae277dbef7852016a</t>
  </si>
  <si>
    <t>In recent years, the quality control of car body surfaces production lines have been put in the context of Industry 4.0. The emergence of automatic defect detection systems have helped to standardize the brand quality and gather information about all quality control tasks performed by workers. However, current worker interfaces used to indicate the location and other characteristics of the defects found by these systems have overcome the ergonomics of workers and increased their stress at work. This paper presents a novel mixed reality-based user interface for quality control inspection which is more intuitive, in order to improve the ergonomics of workers, reduce their stress at work and improve the productivity of current quality control production lines. An experimental prototype is shown in the paper in order to demonstrate the benefits of the proposed interface. In addition, the paper shows the results of several usability tests that compare the proposed mixed reality-based user interface with current interfaces used in important factories such as Mercedes-Benz, analyzing the benefits and drawbacks of each interface. © 2019 The Society of Manufacturing Engineers</t>
  </si>
  <si>
    <t>75-92</t>
  </si>
  <si>
    <t>Production line; Augmented reality; User interfaces; Mixed reality; Ergonomics; Usability tests; Inspection; Automatic defect detections; Automobile manufacture; Car bodies; Car body surface quality control; Current quality; Experimental prototype; Mercedes Benz; Occupational risks; Quality assurance; Quality control inspections; Railroad cars</t>
  </si>
  <si>
    <t>XG398IYF</t>
  </si>
  <si>
    <t>Bellem, H.; Klüver, M.; Schrauf, M.; Schöner, H.-P.; Hecht, H.; Krems, J.F.</t>
  </si>
  <si>
    <t>Can We Study Autonomous Driving Comfort in Moving-Base Driving Simulators? A Validation Study</t>
  </si>
  <si>
    <t>Human Factors</t>
  </si>
  <si>
    <t>00187208 (ISSN)</t>
  </si>
  <si>
    <t>10.1177/0018720816682647</t>
  </si>
  <si>
    <t>https://www.scopus.com/inward/record.uri?eid=2-s2.0-85018763192&amp;doi=10.1177%2f0018720816682647&amp;partnerID=40&amp;md5=c6cce87c37814326b70d8806f2ff5a39</t>
  </si>
  <si>
    <t>Objective: To lay the basis of studying autonomous driving comfort using driving simulators, we assessed the behavioral validity of two moving-base simulator configurations by contrasting them with a test-track setting. Background: With increasing level of automation, driving comfort becomes increasingly important. Simulators provide a safe environment to study perceived comfort in autonomous driving. To date, however, no studies were conducted in relation to comfort in autonomous driving to determine the extent to which results from simulator studies can be transferred to on-road driving conditions. Method: Participants (N = 72) experienced six differently parameterized lane-change and deceleration maneuvers and subsequently rated the comfort of each scenario. One group of participants experienced the maneuvers on a test-track setting, whereas two other groups experienced them in one of two moving-base simulator configurations. Results: We could demonstrate relative and absolute validity for one of the two simulator configurations. Subsequent analyses revealed that the validity of the simulator highly depends on the parameterization of the motion system. Conclusion: Moving-base simulation can be a useful research tool to study driving comfort in autonomous vehicles. However, our results point at a preference for subunity scaling factors for both lateral and longitudinal motion cues, which might be explained by an underestimation of speed in virtual environments. Application: In line with previous studies, we recommend lateral- and longitudinal-motion scaling factors of approximately 50% to 60% in order to obtain valid results for both active and passive driving tasks. © Human Factors and Ergonomics Society.</t>
  </si>
  <si>
    <t>442-456</t>
  </si>
  <si>
    <t>Hum. Factors</t>
  </si>
  <si>
    <t>Publisher: SAGE Publications Inc.</t>
  </si>
  <si>
    <t>Adult; Female; Humans; Male; Middle Aged; automation; Automation; human; Virtual reality; adult; female; male; young adult; Autonomous driving; Immersive environment; reproducibility; Reproducibility of Results; immersive environments; Young Adult; middle aged; Automobile simulators; Driving simulation; trust in automation; Vehicles; driving simulation; Simulators; virtual environments; Vehicle design; car driving; Vehicle automations; Equipment Design; Sensory perception; acceleration; Acceleration; Automobile Driving; autonomous driving; behavioral validity; computer simulation; Computer Simulation; devices; equipment design; methodology; multisensory integration; Multisensory integration; Research Design; usability/acceptance measurement and research; vehicle automation; vehicle design; visual-vestibular integration</t>
  </si>
  <si>
    <t>V3M8HRXG</t>
  </si>
  <si>
    <t>Fulbrook, J.E.; Ruffner, J.W.; Labbe, R.</t>
  </si>
  <si>
    <t>An Augmented Reality Binocular System (ARBS) for air traffic controllers</t>
  </si>
  <si>
    <t>Proc SPIE Int Soc Opt Eng</t>
  </si>
  <si>
    <t>0277786X (ISSN); 978-081947146-8 (ISBN)</t>
  </si>
  <si>
    <t>10.1117/12.800612</t>
  </si>
  <si>
    <t>https://www.scopus.com/inward/record.uri?eid=2-s2.0-44349156477&amp;doi=10.1117%2f12.800612&amp;partnerID=40&amp;md5=27d5f55688a9f102b1ec95bcf0fac0fa</t>
  </si>
  <si>
    <t>The primary means by which air traffic tower controllers obtain information is through direct out-thewindow viewing, although a considerable amount of time is spent looking at electronic displays and other information sources inside the tower cab. The Air Force Research Laboratory sponsored the development of a prototype Augmented Reality Binocular System (ARBS) that enhances tower controller performance, situation awareness, and safety. The ARBS is composed of a virtual binocular (VB) that displays real-time imagery from high resolution telephoto cameras and sensors mounted on pan/tilt units (PTUs). The selected PTU tracks to the movement of the VB, which has an inertial heading and elevation sensor. Relevant airfield situation text and graphic depictions that identify airfield features are overlaid on the imagery. In addition, the display is capable of labeling and tracking vehicles on which an Automatic Dependent Surveillance - Broadcast (ADS-B) system has been installed. The ARBS provides air traffic controllers and airfield security forces with the capability to orient toward, observe, and conduct continuous airfield operations and surveillance/security missions from any number of viewing aspects in limited visibility conditions. In this paper, we describe the ARBS in detail, discuss the results of a Usability Test of the prototype ARBS, and discuss ideas for follow-on efforts to develop the ARBS to a fieldable level.</t>
  </si>
  <si>
    <t>Journal Abbreviation: Proc SPIE Int Soc Opt Eng</t>
  </si>
  <si>
    <t>Virtual reality; ADS-B; Air traffic control; Air traffic control tower; Air traffic tower controllers; Augmented Reality Binocular System (ARBS); Augmented reality display; Binocular vision; Display symbology; Global positioning system; GPS tracking; Near-to-eye display; Near-to-eye displays; Optical sensors; Optoelectronic devices; Real time control; Virtual binocular; Virtual binocular (VB); Virtual reality display</t>
  </si>
  <si>
    <t>Proceedings of SPIE - The International Society for Optical Engineering</t>
  </si>
  <si>
    <t>PWEDS36R</t>
  </si>
  <si>
    <t>Heimann, O.; Krüger, J.</t>
  </si>
  <si>
    <t>Affordance based approach to automatic  program generation for industrial robots in manufacturing</t>
  </si>
  <si>
    <t>10.1016/j.procir.2018.01.033</t>
  </si>
  <si>
    <t>https://www.scopus.com/inward/record.uri?eid=2-s2.0-85061983212&amp;doi=10.1016%2fj.procir.2018.01.033&amp;partnerID=40&amp;md5=105293e47992a6837b257efa4c4812f5</t>
  </si>
  <si>
    <t>Due to the increasing demand for flexible and low-cost production, manufacturing solutions involving human robot interaction have become much sought-after. Robotic manufacturers meet the demand with a rising number of low cost robots specifically designed around safety and usability. However, the programming is still based on a tool centric teach-in. This paper discusses an affordance based approach for process programming in industrial manufacturing. Using low level feature detection and a consecutive evaluation, a fast programming method for industrial applications is presented. The paper presents the concept and a prototypic implementation for a welding process. Using the affordance detection, the system is able to identify relevant seams based on an image of the work space. The identified seams are then presented to the user for review with the means of augmented reality. Lastly, the system derives a welding program based on the detected seams. First experiments show promising results concerning programming speed and path accuracy for different work piece shapes and task definitions. Finally, based on the experience gained with the prototype, the outlook discusses the possibilities and further fields for future work. © 2018 The Authors. Published by Elsevier B.V.</t>
  </si>
  <si>
    <t>133-137</t>
  </si>
  <si>
    <t>Augmented reality; Human robot interaction; Industrial robots; Robot programming; Costs; Manufacture; Robots; Automatic programming; Automatic programs; Industrial manufacturing; Low-cost robots; Low-level Feature detections; Manufacturing solutions; Mathematical programming; Process programming; Programming; Programming speed; Robot; Welding; Welding process</t>
  </si>
  <si>
    <t>UMEYQMY3</t>
  </si>
  <si>
    <t>Fong, K.N.K.; Chow, K.Y.Y.; Chan, B.C.H.; Lam, K.C.K.; Lee, J.C.K.; Li, T.H.Y.; Yan, E.W.H.; Wong, A.T.Y.</t>
  </si>
  <si>
    <t>Usability of a virtual reality environment simulating an automated teller machine for assessing and training persons with acquired brain injury</t>
  </si>
  <si>
    <t>17430003 (ISSN)</t>
  </si>
  <si>
    <t>10.1186/1743-0003-7-19</t>
  </si>
  <si>
    <t>https://www.scopus.com/inward/record.uri?eid=2-s2.0-77951541583&amp;doi=10.1186%2f1743-0003-7-19&amp;partnerID=40&amp;md5=862df39812c55fd9b464bd23cb8dd916</t>
  </si>
  <si>
    <t>Objective. This study aimed to examine the usability of a newly designed virtual reality (VR) environment simulating the operation of an automated teller machine (ATM) for assessment and training. Design. Part I involved evaluation of the sensitivity and specificity of a non-immersive VR program simulating an ATM (VR-ATM). Part II consisted of a clinical trial providing baseline and post-intervention outcome assessments. Setting. A rehabilitation hospital and university-based teaching facilities were used as the setting. Participants. A total of 24 persons in the community with acquired brain injury (ABI) - 14 in Part I and 10 in Part II - made up the participants in the study. Interventions. In Part I, participants were randomized to receive instruction in either an "early" or a "late" VR-ATM program and were assessed using both the VR program and a real ATM. In Part II, participants were assigned in matched pairs to either VR training or computer-assisted instruction (CAI) teaching programs for six 1-hour sessions over a three-week period. Outcome Measures. Two behavioral checklists based on activity analysis of cash withdrawals and money transfers using a real ATM were used to measure average reaction time, percentage of incorrect responses, level of cues required, and time spent as generated by the VR system; also used was the Neurobehavioral Cognitive Status Examination. Results. The sensitivity of the VR-ATM was 100% for cash withdrawals and 83.3% for money transfers, and the specificity was 83% and 75%, respectively. For cash withdrawals, the average reaction time of the VR group was significantly shorter than that of the CAI group (p = 0.021). We found no significant differences in average reaction time or accuracy between groups for money transfers, although we did note positive improvement for the VR-ATM group. Conclusion. We found the VR-ATM to be usable as a valid assessment and training tool for relearning the use of ATMs prior to real-life practice in persons with ABI. © 2010 Fong et al; licensee BioMed Central Ltd.</t>
  </si>
  <si>
    <t>Activities of Daily Living; Adult; Female; Humans; Male; Middle Aged; controlled study; human; adult; female; male; article; computer interface; User-Computer Interface; middle aged; randomized controlled trial; Brain Injuries; brain injury; reaction time; instrumentation; methodology; clinical trial; computer assisted therapy; controlled clinical trial; daily life activity; Reaction Time; sensitivity and specificity; Sensitivity and Specificity; Therapy, Computer-Assisted</t>
  </si>
  <si>
    <t>EX46H98H</t>
  </si>
  <si>
    <t>Schmidt, G.; Kiss, M.; Babbel, E.; Galla, A.</t>
  </si>
  <si>
    <t>The wizard on wheels: Rapid prototyping and user testing of future driver assistance using the wizard of oz technique in a vehicle</t>
  </si>
  <si>
    <t>FISITA World Automot. Congr., Congr. Proc. - Mobil. Concepts, Man Mach. Interface, Process Challenges, Virtual Real.</t>
  </si>
  <si>
    <t>https://www.scopus.com/inward/record.uri?eid=2-s2.0-84866126970&amp;partnerID=40&amp;md5=f3b26c7bee79798ae401e2dfe35048d5</t>
  </si>
  <si>
    <t>Up to now, the resulting restrictions for HMI development from the limited availability of technical components lead to a method where a technological setup is avoided: In the Wizard of Oz Technique a human being takes over the role of the technical system components and simulates complex processes, e.g. the recognition and interpretation of speech inputs. In this field, this method was widespread in the 1990s, when computing power limited speech processing. Wizard of Oz experiments provide a possibility for user testing of future technologies which are not yet available in hardware. For automotive issues, first adaptations into virtual reality environments and driving simulators already exist. This paper describes the transfer of this experimental technique into a driving vehicle: For research and development of driver assistance systems a Wizard of Oz vehicle was developed. In this vehicle, a hidden second driver in the load compartment is able to take over parts of the driving task varying the degree of automation from manual control to complete automatic control. Besides alternative control of the driving subtasks a cooperative control of the vehicle is possible by simultaneous manipulation of driver and wizard. This setup allows the person on the driver's seat to experience not yet existing future driver assistance systems. Hence, sensor development issues are no longer limiting user testing and different degrees of " intelligence" of the driver assistance system can be realized before spending effort in technical development. Results from user testing can be generated much earlier in the development process and find their entry into the ongoing system design. Besides the advantages for early usability testing, this instrument offers outstanding possibilities in the development of assistance functionalities as even very early ideas can be experienced in a real car. Therefore, the Wizard of Oz vehicle is an important instrument within a rapid prototyping approach in the development of assistance systems, completing established development tools such as driving simulators and prototype vehicles. By means of the description of the technical realization of the experimental vehicle the conception and design of user studies is presented. Here, two example studies designed for validation of the tool are introduced and described: First, an in-vehicle information system was simulated. The system evaluation of 18 users was compared to the evaluation of a real system setup. In the second experiment a lanekeeping system is emulated as an example for intervening driver assistance. 19 users evaluated both the Wizard of Oz system and a prototype lanekeeping system. The results provide the background for a discussion of the advantages and constraints of using the Wizard of Oz-technique in a vehicle for designing HMIs of future driver assistance.</t>
  </si>
  <si>
    <t>118-124</t>
  </si>
  <si>
    <t>Journal Abbreviation: FISITA World Automot. Congr., Congr. Proc. - Mobil. Concepts, Man Mach. Interface, Process Challenges, Virtual Real.</t>
  </si>
  <si>
    <t>Automation; Virtual reality; Man machine systems; Experiments; Virtual-reality environment; Automobile drivers; Rapid prototyping; Usability testing; Human Machine Interface; Speech recognition; Automobile simulators; Driving simulator; User study; Vehicles; Human computer interaction; Human-machine interface; Development process; Speech processing; Human being; Assistance system; User testing; Wizard of Oz; Research and development; System evaluation; Co-operative control; Complex Processes; Computing power; Control; Degree of automation; Development tools; Driver assistance; Driver assistance system; Driver assistance systems; Driving tasks; Experimental techniques; Experimental vehicle; Future driver assistance systems; Future technologies; HMI development; Human-machine interaction; Human-machine-interaction; In-vehicle information system; Prototype vehicles; Real systems; Sensor development; Speech input; Subtasks; Technical development; Technical realization; Technical systems</t>
  </si>
  <si>
    <t>FISITA World Automotive Congress 2008, Congress Proceedings - Mobility Concepts, Man Machine Interface, Process Challenges, Virtual Reality</t>
  </si>
  <si>
    <t>P38B4ND4</t>
  </si>
  <si>
    <t>Aita, K.S.U.; Monte, S.J.H.; Silva, A.S.; Marroquim, M.S.C.; Coelho, A.G.B.; Sousa, L.C.D.M.</t>
  </si>
  <si>
    <t>Web-based ecosystem software for virtual crossmatching in transplant programs</t>
  </si>
  <si>
    <t>Computers in Biology and Medicine</t>
  </si>
  <si>
    <t>00104825 (ISSN)</t>
  </si>
  <si>
    <t>10.1016/j.compbiomed.2016.05.010</t>
  </si>
  <si>
    <t>https://www.scopus.com/inward/record.uri?eid=2-s2.0-84969752647&amp;doi=10.1016%2fj.compbiomed.2016.05.010&amp;partnerID=40&amp;md5=eecbc739a074507268672bd503ab0b5f</t>
  </si>
  <si>
    <t>Background: The compatibilities between donors and recipients are extremely important for evaluating the immunological risks of transplants. One challenge faced by data analysis tools is the transformation of complex data into simple, intuitive, and important information that can be used to resolve contemporary problems. To address this challenge, we developed the EpViX software to perform epitope reactivity analyses and automated epitope virtual crossmatching. EpViX is a facilitator of medical decision-making regarding the identification of the best donor for a high-immunologic risk recipient. The objective of this work is to describe the computational architecture of the EpViX ecosystem (http://www.epvix.com.br). Materials and methods: EpViX is a freeware on the web that was developed in the Ruby language. EpViX can be accessed from different platforms, e.g., PCs, tablets, and smartphones. It consists of an ecosystem of tools that are capable of integrating all of the stakeholders who are involved in a transplant process with a deceased donor. Results: We successfully developed a program that allows people to work collaboratively and effectively during the donation process by accurately predicting negative crossmatches, saving time and other resources. Conclusions: EpViX represents a significant breakthrough for the organ transplant process and may meet the current needs of transplant programs because it increases the chances of the allocation of low-immunologic risk donors to highly sensitized recipients and assures greater equity among the recipients on a waiting list. EpViX was duly verified and tested in terms of data security. Moreover, usability tests demonstrated that EpViX is an intuitive and easy-to-use tool. © 2016 Elsevier Ltd.</t>
  </si>
  <si>
    <t>30-37</t>
  </si>
  <si>
    <t>Comput. Biol. Med.</t>
  </si>
  <si>
    <t>virtual reality; Humans; Article; automation; human; procedures; time; Virtual addresses; Behavioral research; Usability tests; Decision making; Internet; priority journal; mobile application; smartphone; Ecosystems; Websites; cadaver donor; Computational architecture; computer language; computer program; Data analysis tool; Decision-making; donor; donor selection; Ecology; ecosystem; epitope; Epitope reactivity analyses; Epitopes; histocompatibility test; Histocompatibility Testing; HLA epitopes; medical decision making; Medical decision making; Metadata; Mobile Applications; organ transplantation; Organ Transplantation; Organ transplants; Programming Languages; Reactivity analysis; recipient; transplantation; Virtual crossmatch; Web-based software; Web-based softwares; World Wide Web</t>
  </si>
  <si>
    <t>T4HQJ34W</t>
  </si>
  <si>
    <t>Hanna, N.; Richards, D.; Jacobson, M.J.</t>
  </si>
  <si>
    <t>Automatic acquisition of user models of interaction to evaluate the usability of virtual environments</t>
  </si>
  <si>
    <t>03029743 (ISSN); 978-364232540-3 (ISBN)</t>
  </si>
  <si>
    <t>10.1007/978-3-642-32541-0_4</t>
  </si>
  <si>
    <t>https://www.scopus.com/inward/record.uri?eid=2-s2.0-84874800166&amp;doi=10.1007%2f978-3-642-32541-0_4&amp;partnerID=40&amp;md5=a57e621952237ea4c616f0f0185f4124</t>
  </si>
  <si>
    <t>Evaluation is an essential step in the research and development of software, particularly for new technologies such as Virtual Environments. One of the challenges to such evaluation is to collect data needed for analyzing the behavior of the users of the virtual environment. Conventional acquisition of evaluation data is time-consuming and prone to bias. In this paper, we present a taxonomy to assist identification and collection of appropriate variables for automatic data collection. We further show how these variables, such as navigation paths and characters met, can be used to capture the behavioral interaction of learners in a virtual ecosystem and to produce a user-model to evaluate the usability of the world under development. © Springer-Verlag Berlin Heidelberg 2012.</t>
  </si>
  <si>
    <t>43-57</t>
  </si>
  <si>
    <t>7457 LNAI</t>
  </si>
  <si>
    <t>Virtual reality; Usability evaluation; Virtual environment; Intelligent systems; Automatic data collection; Automatic acquisition; Automatic data acquisition; Behavioral interactions; Data acquisition; Knowledge management; Research and development; User Modeling; User-model data collection; Virtual ecosystems</t>
  </si>
  <si>
    <t>Richards D.; Kang B.H.</t>
  </si>
  <si>
    <t>IESQPGDG</t>
  </si>
  <si>
    <t>Ruiz, M.; Hasselman, B.</t>
  </si>
  <si>
    <t>Can we design software as we talk?: A research idea</t>
  </si>
  <si>
    <t>Lect. Notes Bus. Inf. Process.</t>
  </si>
  <si>
    <t>18651348 (ISSN); 978-303049417-9 (ISBN)</t>
  </si>
  <si>
    <t>10.1007/978-3-030-49418-6_22</t>
  </si>
  <si>
    <t>https://www.scopus.com/inward/record.uri?eid=2-s2.0-85086300855&amp;doi=10.1007%2f978-3-030-49418-6_22&amp;partnerID=40&amp;md5=1024014331b4c6fff6551948b4fe0b00</t>
  </si>
  <si>
    <t>In the context of digital transformation, speeding up the time-to-market of high-quality software products is a big challenge. Main challenges. Software quality correlates with the success of requirements engineering (RE) sessions. RE sessions demand software analysts to collect all relevant material usually specified on written notes, flip charts, pictures, etc. Afterwards comprehensible requirements need to be specified for software implementation and testing. These activities are mostly performed manually, which causes process delays and software quality attributes like reliability, usability, comprehensibility, etc., are diminished causing software devaluation. Innovative aspects. This research idea paper proposes a framework for automating the tasks of requirements specification. The proposed framework involves computational mechanisms to enable the automatic generation of software design while requirements are discussed. The innovative aspect of this research comes from digitally transforming the software development life cycle (SDLC) where requirements are generated “on the fly” and virtual reality systems are in place. Potential to make change. The proposed framework has the potential to renovate the role of software analysts, which can experience substantial reduction of manual tasks, more efficient communication, dedication to more analytical tasks, and assurance of software quality from conception phases. This research idea paper introduces the framework for automating the task of requirements specification, and report our progress. We conclude the paper by outlining lessons learnt and future lines of work. © Springer Nature Switzerland AG 2020.</t>
  </si>
  <si>
    <t>327-334</t>
  </si>
  <si>
    <t>387 LNBIP</t>
  </si>
  <si>
    <t>Journal Abbreviation: Lect. Notes Bus. Inf. Process.</t>
  </si>
  <si>
    <t>Virtual reality system; Information systems; Information use; Computer software selection and evaluation; Software testing; Software design; Digital transformation; Efficient communications; High-quality software; Life cycle; Management information systems; Requirements engineering; Requirements specifications; Software development life cycle; Software implementation; Software quality; Software quality attributes; Software reliability; Specifications; Systems analysis; Systems engineering; User stories generation</t>
  </si>
  <si>
    <t>Nurcan S.; Reinhartz-Berger I.; Soffer P.; Zdravkovic J.</t>
  </si>
  <si>
    <t>Lecture Notes in Business Information Processing</t>
  </si>
  <si>
    <t>H25AIFM8</t>
  </si>
  <si>
    <t>Song, W.; Weng, D.; Feng, D.; Li, Y.; Liu, Y.; Wang, Y.</t>
  </si>
  <si>
    <t>Evaluating visual discomfort in stereoscopic projection-based CAVE system with a close viewing distance</t>
  </si>
  <si>
    <t>0277786X (ISSN); 978-162841611-4 (ISBN)</t>
  </si>
  <si>
    <t>10.1117/12.2179610</t>
  </si>
  <si>
    <t>https://www.scopus.com/inward/record.uri?eid=2-s2.0-84954070153&amp;doi=10.1117%2f12.2179610&amp;partnerID=40&amp;md5=672ba742ce9458bb2c9b3f17cfa37a0b</t>
  </si>
  <si>
    <t>As one of popular immersive Virtual Reality (VR) systems, stereoscopic cave automatic virtual environment (CAVE) system is typically consisted of 4 to 6 3m-by-3m sides of a room made of rear-projected screens. While many endeavors have been made to reduce the size of the projection-based CAVE system, the issue of asthenopia caused by lengthy exposure to stereoscopic images in such CAVE with a close viewing distance was seldom tangled. In this paper, we propose a light-weighted approach which utilizes a convex eyepiece to reduce visual discomfort induced by stereoscopic vision. An empirical experiment was conducted to examine the feasibility of convex eyepiece in a large depth of field (DOF) at close viewing distance both objectively and subjectively. The result shows the positive effects of convex eyepiece on the relief of eyestrain. © 2015 SPIE.</t>
  </si>
  <si>
    <t>SPIE</t>
  </si>
  <si>
    <t>Usability studies; Virtual reality; Three dimensional computer graphics; Visualization; Immersive virtual reality; Cave automatic virtual environments; Usability study; Accommodation and convergence conflict; Empirical experiments; Imaging systems; Stereo image processing; Stereoscopic vision; Visual discomfort; Visual perception</t>
  </si>
  <si>
    <t>Javidi B.; Son J.-Y.</t>
  </si>
  <si>
    <t>4NZ8W5KN</t>
  </si>
  <si>
    <t>Wang, J.; Wu, J.</t>
  </si>
  <si>
    <t>Research on mobile application automation testing technology based on appium</t>
  </si>
  <si>
    <t>Proc. - Int. Conf. Virtual Real. Intell. Syst., ICVRIS</t>
  </si>
  <si>
    <t>978-172815050-5 (ISBN)</t>
  </si>
  <si>
    <t>10.1109/ICVRIS.2019.00068</t>
  </si>
  <si>
    <t>https://www.scopus.com/inward/record.uri?eid=2-s2.0-85077135678&amp;doi=10.1109%2fICVRIS.2019.00068&amp;partnerID=40&amp;md5=ea3a04a4b6dc793d2ef1f7724e9e6753</t>
  </si>
  <si>
    <t>Aiming at the problems of how to improve the quality of mobile applications and user experience continuously, and how to use automation testing technology rationally to avoid wasteful duplication of effort, a design method of the automation testing based on Appium is proposed. Appium is mainly aimed at the automation of user interface testing and business function and process testing. Appium is applicable to testing native, Web applications or hybrid mobile applications, and it is a cross-platform testing framework, which supports mobile application testing on iOS, Android and Firefox OS platforms. On Appium clients, automation testing scripts can be run to drive the automation testing, and Appium testing scripts can be written in Python, Ruby, C#, Java, Objective-C, JavaScript and other languages. The experimental results show that the proposed method of automation testing based on Appium can verify the mobile application software effectively, improve the testing efficiency and help enterprises save costs. © 2019 IEEE.</t>
  </si>
  <si>
    <t>247-250</t>
  </si>
  <si>
    <t>Journal Abbreviation: Proc. - Int. Conf. Virtual Real. Intell. Syst., ICVRIS</t>
  </si>
  <si>
    <t>Mobile applications; Automation; Virtual reality; User interfaces; Application programs; Software testing; Testing; Intelligent systems; Appium; Application; Applications; Automation testing; Business functions; High level languages; Interface testings; Mobile; Mobile application software; Mobile application testing; Mobile computing</t>
  </si>
  <si>
    <t>Proceedings - 2019 International Conference on Virtual Reality and Intelligent Systems, ICVRIS 2019</t>
  </si>
  <si>
    <t>3XMX9UPU</t>
  </si>
  <si>
    <t>Andri, C.; Alkawaz, M.H.; Waheed, S.R.</t>
  </si>
  <si>
    <t>Examining Effectiveness and User Experiences in 3D Mobile based Augmented Reality for MSU Virtual Tour</t>
  </si>
  <si>
    <t>IEEE Int. Conf. Autom. Control Intell. Syst., I2CACIS - Proc.</t>
  </si>
  <si>
    <t>978-172810784-4 (ISBN)</t>
  </si>
  <si>
    <t>10.1109/I2CACIS.2019.8825054</t>
  </si>
  <si>
    <t>https://www.scopus.com/inward/record.uri?eid=2-s2.0-85072923510&amp;doi=10.1109%2fI2CACIS.2019.8825054&amp;partnerID=40&amp;md5=4acf3b96b28372ad9681568c2f56e19a</t>
  </si>
  <si>
    <t>A campus tour is a time-consuming event and human resource intensive task. It is not always possible for visitors to visit all the facilities on a one-day tour due to the time limit or some activities on campus that cannot be disturbed. Along with technological advancements, some universities began to use multimedia technology as a supporting media for campus tour activities. This paper presents the mobile augmented reality and virtual tour application for Management and Science University (MSU). This application will able to help visitors in the process of obtaining such information on MSU in a very simple way by augmented reality feature, and let the visitors become familiar with MSU's environment by virtual tour feature. This project also presents the main use cases covered by the application and describes the main feature components. Furthermore, the evaluation of the application based on user testing is also explained. © 2019 IEEE.</t>
  </si>
  <si>
    <t>161-167</t>
  </si>
  <si>
    <t>Journal Abbreviation: IEEE Int. Conf. Autom. Control Intell. Syst., I2CACIS - Proc.</t>
  </si>
  <si>
    <t>Mobile applications; Automation; augmented reality; Augmented reality; 3D modeling; 3D models; Three dimensional computer graphics; User experience; Technological advancement; Intelligent systems; Multimedia systems; mobile application; Mobile augmented reality; User testing; campus tour; Multimedia technologies; Process control; virtual tour; Virtual tour</t>
  </si>
  <si>
    <t>2019 IEEE International Conference on Automatic Control and Intelligent Systems, I2CACIS 2019 - Proceedings</t>
  </si>
  <si>
    <t>SZHTTRFT</t>
  </si>
  <si>
    <t>Pierdicca, R.; Frontoni, E.; Pollini, R.; Trani, M.; Verdini, L.</t>
  </si>
  <si>
    <t>The use of augmented reality glasses for the application in industry 4.0</t>
  </si>
  <si>
    <t>03029743 (ISSN); 978-331960921-8 (ISBN)</t>
  </si>
  <si>
    <t>10.1007/978-3-319-60922-5_30</t>
  </si>
  <si>
    <t>https://www.scopus.com/inward/record.uri?eid=2-s2.0-85021228025&amp;doi=10.1007%2f978-3-319-60922-5_30&amp;partnerID=40&amp;md5=b2539808fcbcccd50cdbe2969a78f200</t>
  </si>
  <si>
    <t>In nowadays Industrial environment, the fast changes of machine components and the growing need of specialised worker claims an evolution. In the towards of this direction, the Industry 4.0 paradigm seems to play a pivotal role, because is aimed at making industrial production entirely automated and interconnected. Augmented Reality (AR) is one of the nine pillar of the new Industry environments and is still considered and is a real solution for several purposes, first of all production environments. In this article we propose a case study of a training-on-the-job application through the use of glasses for AR, using Unity framework and Vuforia libraries. The goal is to develop an AR android application that allows to assist the operator during the assembly phase of an object composed of numerous components that must be assembled in a precise order and together with a final verification measurements on some parts of the final object. This work poses considerable attention to the usability of the HDM device and the readability of the information. The application has been validated after a number of practical tests carried out by specialized technicians who normally perform this type of assembly. The description of the applied procedure and the assessment are presented. © Springer International Publishing AG 2017.</t>
  </si>
  <si>
    <t>389-401</t>
  </si>
  <si>
    <t>10324 LNCS</t>
  </si>
  <si>
    <t>Virtual reality; Augmented reality; Human computer interaction; Human-computer interaction; Glass; Industry 4.0; Computer graphics; Production environments; Android applications; Glasses; Industrial environments; Industrial production; Job application; Machine components; New industry; Practical tests; Real solutions; Shafts (machine components); Training on the job</t>
  </si>
  <si>
    <t>De Paolis L.T.; Mongelli A.; Bourdot P.</t>
  </si>
  <si>
    <t>K9M55LM2</t>
  </si>
  <si>
    <t>Pfeiffer, T.; Renner, P.; Pfeiffer-Leßmann, N.</t>
  </si>
  <si>
    <t>EyeSee3D 2.0: Model-based real-time analysis of mobile eye-tracking in static and dynamic three-dimensional scenes</t>
  </si>
  <si>
    <t>Eye Track. Res. Appl. Symp. (ETRA)</t>
  </si>
  <si>
    <t>978-145034125-7 (ISBN)</t>
  </si>
  <si>
    <t>10.1145/2857491.2857532</t>
  </si>
  <si>
    <t>https://www.scopus.com/inward/record.uri?eid=2-s2.0-84975295527&amp;doi=10.1145%2f2857491.2857532&amp;partnerID=40&amp;md5=8a0238bd0fbbcc9d97c77fa95b843e73</t>
  </si>
  <si>
    <t>With the launch of ultra-portable systems, mobile eye tracking finally has the potential to become mainstream. While eye movements on their own can already be used to identify human activities, such as reading or walking, linking eye movements to objects in the environment provides even deeper insights into human cognitive processing. We present a model-based approach for the identification of fixated objects in three-dimensional environments. For evaluation, we compare the automatic labelling of fixations with those performed by human annotators. In addition to that, we show how the approach can be extended to support moving targets, such as individual limbs or faces of human interaction partners. The approach also scales to studies using multiple mobile eye-tracking systems in parallel. The developed system supports real-time attentive systems that make use of eye tracking as means for indirect or direct humancomputer interaction as well as off-line analysis for basic research purposes and usability studies. © 2016 Copyright held by the owner/author(s). Publication rights licensed to ACM.</t>
  </si>
  <si>
    <t>189-196</t>
  </si>
  <si>
    <t>Journal Abbreviation: Eye Track. Res. Appl. Symp. (ETRA)</t>
  </si>
  <si>
    <t>Augmented reality; Eye movements; Eye-tracking; Eye tracking; Real time systems; 3D; Gaze analysis; Joint attention; Mobile eye tracking; Mobile eye-tracking; Social interaction; Social interactions</t>
  </si>
  <si>
    <t>Eye Tracking Research and Applications Symposium (ETRA)</t>
  </si>
  <si>
    <t>PR4FEKWX</t>
  </si>
  <si>
    <t>Louka, M.N.</t>
  </si>
  <si>
    <t>Using virtual mock-ups and automated assistance to support human factors engineering design evaluation activities for control room layouts</t>
  </si>
  <si>
    <t>Int. Top. Meet. Nucl. Plant Instrum., Control, Hum.-Mach. Interface Technol., NPIC HMIT</t>
  </si>
  <si>
    <t>978-151080809-6 (ISBN)</t>
  </si>
  <si>
    <t>https://www.scopus.com/inward/record.uri?eid=2-s2.0-84946224959&amp;partnerID=40&amp;md5=df4d3b6aa148f4ecbc57a600e62a25ec</t>
  </si>
  <si>
    <t>Virtual prototyping technologies enable control room designers, human factors specialists, and other project stakeholders to communicate and evaluate ideas early in the design process. Virtual mock-ups can be produced rapidly, typically resulting in more design iterations. Therefore, reliable human factors reviews need to be executed quickly in order to provide timely feedback to designers. Our earlier work indicates that a promising approach is to transform human factors review guidelines into rule-based tests that can be performed automatically by software to produce feedback on conformance by analyzing a suitably prepared 3D model. If this can be implemented in a practical manner then the expected result would be greater accuracy and consistency than conventional approaches to reviewing, and the potential to produce a conformant design relatively cost-efficiently. This paper presents results from an explorative usability study to evaluate the accuracy and efficiency of an interactive 3D software tool designed to support control room layout evaluation. The study focused specifically on the usability of automated assistance to support the verification of a control room design against a sub-set of human factors review guidelines (NUREG-0700). We present the background for this study, the experimental design, and some of the results.</t>
  </si>
  <si>
    <t>2080-2086</t>
  </si>
  <si>
    <t>Journal Abbreviation: Int. Top. Meet. Nucl. Plant Instrum., Control, Hum.-Mach. Interface Technol., NPIC HMIT</t>
  </si>
  <si>
    <t>Usability studies; Virtual reality; Man machine systems; Design; Software testing; Human engineering; Human computer interaction; Automated assistance; Control room engineering; Conventional approach; Engineering design; HFE verification and validation; Human factors engineering; Human-centered design; Human-centered designs; Mockups; Project stakeholders; Verification-and-validation; Virtual prototyping technologies</t>
  </si>
  <si>
    <t>9th International Topical Meeting on Nuclear Plant Instrumentation, Control, and Human-Machine Interface Technologies, NPIC and HMIT 2015</t>
  </si>
  <si>
    <t>IXD339QC</t>
  </si>
  <si>
    <t>Neviarouskaya, A.; Prendinger, H.; Ishizuka, M.</t>
  </si>
  <si>
    <t>User study on AffectIM, an avatar-based Instant Messaging system employing rule-based affect sensing from text</t>
  </si>
  <si>
    <t>10959300 (ISSN)</t>
  </si>
  <si>
    <t>10.1016/j.ijhcs.2010.02.003</t>
  </si>
  <si>
    <t>https://www.scopus.com/inward/record.uri?eid=2-s2.0-77950935466&amp;doi=10.1016%2fj.ijhcs.2010.02.003&amp;partnerID=40&amp;md5=3f90da6d5a76dd40f4a8408a79c2f597</t>
  </si>
  <si>
    <t>Social interaction among people is an essential part of every society, and a strong foundation for the development and self-actualization of a person. Even in virtual environments we tend to interact in a social way. Our research addresses the tasks of recognition, interpretation, and visualization of affect communicated through text messaging. In order to facilitate sensitive and expressive interaction in computer-mediated communication, we previously introduced a novel syntactical rule-based approach to affect recognition from text. The evaluation of the developed Affect Analysis Model showed promising results regarding its capability to accurately recognize affective information in text from an existing corpus of informal online conversations. To enrich the user's experience in online communication, to make it enjoyable, exciting, and fun, we implemented a web-based Instant Messaging (IM) application, AffectIM, and endowed it with emotional intelligence by integrating the developed Affect Analysis Model. This paper describes the findings of a twenty-person study conducted with our AffectIM system. The results of the study indicate that our IM system with automatic emotion recognition function can achieve a level of affective intelligence (system is successful at conveying the user's feelings, avatar expression is appropriate) that is comparable to "gold standard", where users select the label of the conveyed emotion manually. © 2010 Elsevier Ltd. All rights reserved.</t>
  </si>
  <si>
    <t>432-450</t>
  </si>
  <si>
    <t>Virtual environments; Virtual reality; Visualization; User interfaces; User study; World Wide Web; Social interactions; Affect analysis; Affect recognition; Affect sensing from text; Affective user interface; Affective user interfaces; Avatar-based Instant Messaging; Character recognition; Computer-mediated communication; Emotion recognition; Emotional intelligence; Expressive interactions; Gold standards; Instant messaging; Message passing; On-line communication; Rule based; Rule-based approach; Text messaging</t>
  </si>
  <si>
    <t>9ME6UB4B</t>
  </si>
  <si>
    <t>Corrêa Souza, A.C.; Nunes, F.L.S.; Delamaro, M.E.</t>
  </si>
  <si>
    <t>An automated functional testing approach for virtual reality applications</t>
  </si>
  <si>
    <t>Software Testing Verification and Reliability</t>
  </si>
  <si>
    <t>09600833 (ISSN)</t>
  </si>
  <si>
    <t>10.1002/stvr.1690</t>
  </si>
  <si>
    <t>https://www.scopus.com/inward/record.uri?eid=2-s2.0-85054803987&amp;doi=10.1002%2fstvr.1690&amp;partnerID=40&amp;md5=2d16fa3aaaabec813bdc940ad54734ae</t>
  </si>
  <si>
    <t>Software testing is regarded as an important method for fault revealing. Despite this advantage, it has been poorly used within the scope of virtual reality (VR) applications because they are highly complex and have peculiar features. Most testing performed of this VR applications are usability, which is conducted manually and only at final of the development process. Although some works try to propose criteria for this domain, there are no approaches that automatize the generation of test data from requirements specification in the VR domain. This paper proposes an approach called virtual reality—requirements specification and testing (VR-ReST) to assist the requirements specification through a semiformal language and uses structural test criteria to generate test requirements and test data automatically for VR applications using scene graph concepts. The paper also examines the empirical results concerning the cost-effectiveness of the approach for three different VR applications through two experiments. Mutation testing was used to evaluate effectiveness. We found that the approach achieved a high mutation score outperforming random testing, by 20%, on average. Our results also demonstrate that the approach is promising since it assists in writing and validating the requirements, as well as in reducing the risks of requirement specification by adopting a semiformal language. © 2018 John Wiley &amp; Sons, Ltd.</t>
  </si>
  <si>
    <t>Software Test Verif Reliab</t>
  </si>
  <si>
    <t>virtual reality; Virtual reality; Cost effectiveness; Software testing; Development process; Requirements engineering; Requirements specifications; Specifications; Automated functional testing; Integrated circuit testing; Mutation testing; Requirement specification; requirements engineering; Semi-formal languages; software testing; Structural tests; Test facilities; Test requirements</t>
  </si>
  <si>
    <t>PI2ZYILS</t>
  </si>
  <si>
    <t>Liang, H.; Chang, J.; Kazmi, I.K.; Zhang, J.J.; Jiao, P.</t>
  </si>
  <si>
    <t>Hand gesture-based interactive puppetry system to assist storytelling for children</t>
  </si>
  <si>
    <t>Visual Computer</t>
  </si>
  <si>
    <t>01782789 (ISSN)</t>
  </si>
  <si>
    <t>10.1007/s00371-016-1272-6</t>
  </si>
  <si>
    <t>https://www.scopus.com/inward/record.uri?eid=2-s2.0-84973664255&amp;doi=10.1007%2fs00371-016-1272-6&amp;partnerID=40&amp;md5=f3d98428f84737b3da33dbb404e912f9</t>
  </si>
  <si>
    <t>Digital techniques have been used to assist narrative and storytelling, especially in many pedagogical practices. With the rapid development of HCI techniques, saturated with digital media in their daily lives, young children, demands more interactive learning methods and meaningful immersive learning experiences. In this paper, we propose a novel hand gesture-based puppetry storytelling system which provides a more intuitive and natural human computer interaction method for young children to develop narrative ability in virtual story world. Depth motion sensing and hand gestures control technology is utilized in the implementation of user-friendly interaction. Young players could intuitively use hand gestures to manipulate virtual puppet to perform story and interact with different items in virtual environment to assist narration. Based on the result of the evaluation, this novel digital storytelling system shows positive pedagogical functions on children’s narrating ability as well as the competencies of cognitive and motor coordination. The usability of the system is preliminary examined in our test, and the results which showed that young children can benefit from playing with Puppet Narrator. © 2016, The Author(s).</t>
  </si>
  <si>
    <t>517-531</t>
  </si>
  <si>
    <t>Visual Comput</t>
  </si>
  <si>
    <t>Automation; Serious games; Virtual reality; Learning systems; Digital storage; Hand gesture; Human computer interaction; Digital storytelling; Hand gesture recognizing; Interactive learning methods; Narrative and storytelling; Natural human computer interactions; Pedagogical practices; Serious game; Virtual puppet; Virtual puppets</t>
  </si>
  <si>
    <t>8T8G8GMV</t>
  </si>
  <si>
    <t>Kang, Y.; Tan, A.-H.; Nah, F.F.-H.</t>
  </si>
  <si>
    <t>Agent-based virtual humans in co-space: An evaluative study</t>
  </si>
  <si>
    <t>Proc. - IEEE/WIC/ACM Int. Conf. Intelligent Agent Technol., IAT</t>
  </si>
  <si>
    <t>978-076954880-7 (ISBN)</t>
  </si>
  <si>
    <t>10.1109/WI-IAT.2012.130</t>
  </si>
  <si>
    <t>https://www.scopus.com/inward/record.uri?eid=2-s2.0-84878438868&amp;doi=10.1109%2fWI-IAT.2012.130&amp;partnerID=40&amp;md5=8d68a1bf255b26dd741f42b87c1fe2c6</t>
  </si>
  <si>
    <t>Co-Space refers to interactive virtual environment modelled after the real world in terms of look-and-feel, functionalities and services. We have developed a 3D virtual world named Nan yang Technological University (NTU) Co-Space populated with virtual human characters. Three key requirements of realistic virtual humans in the virtual world have been identified, namely (1) autonomy: agents can function on their own, (2) interactivity: agents can interact naturally with players, and (3) personality: agents can exhibit human traits and characteristics. Working towards these challenges, we propose a brain-inspired agent architecture that integrates goal-directed autonomy, natural language interaction and human-like personality. We conducted an evaluative study involving human subjects to assess how virtual characters may enhance user experience in the virtual world. The results show that the fusion ART-based virtual humans receive significantly higher ratings in various performance measures related to user experience, especially Telepresence, Perceived Interactivity and Flow. © 2012 IEEE.</t>
  </si>
  <si>
    <t>Journal Abbreviation: Proc. - IEEE/WIC/ACM Int. Conf. Intelligent Agent Technol., IAT</t>
  </si>
  <si>
    <t>Virtual reality; Visual communication; Virtual character; evaluation; Autonomous agents; Interactive virtual environments; Performance measure; 3d virtual worlds; Agent architectures; Co-Space; Intelligent agents; Natural language interaction; virtual character</t>
  </si>
  <si>
    <t>Proceedings - 2012 IEEE/WIC/ACM International Conference on Intelligent Agent Technology, IAT 2012</t>
  </si>
  <si>
    <t>UTQWLPAJ</t>
  </si>
  <si>
    <t>Hargrove, L.; Losier, Y.; Lock, B.; Englehart, K.; Hudgins, B.</t>
  </si>
  <si>
    <t>A real-time pattern recognition based myoelectric control usability study implemented in a virtual environment</t>
  </si>
  <si>
    <t>Annu Int Conf IEEE Eng Med Biol Proc</t>
  </si>
  <si>
    <t>05891019 (ISSN); 1424407885 (ISBN); 978-142440788-0 (ISBN)</t>
  </si>
  <si>
    <t>10.1109/IEMBS.2007.4353424</t>
  </si>
  <si>
    <t>https://www.scopus.com/inward/record.uri?eid=2-s2.0-57649232883&amp;doi=10.1109%2fIEMBS.2007.4353424&amp;partnerID=40&amp;md5=ab340925fda533b01fb5dd2684722a3e</t>
  </si>
  <si>
    <t>Pattern recognition based myoelectric control systems have been well researched; however very few systems have been implemented in a clinical environment. Although classification accuracy or classification error is the metric most often reported to describe how well these control systems perform, very little work research has been conducted to relate this measure to the usability of the system. This work presents a virtual clothespin usability test to assess the performance of pattern recognition based myoelectric control systems. The results suggest that users can complete the virtual task in reasonable time frames when using systems with high classification accuracies. Additionally, results indicate that a clinically-supported classifier training approach (inclusion of the transient potion of contraction signals) may reduce classification accuracy but increase real-time performance. © 2007 IEEE.</t>
  </si>
  <si>
    <t>4842-4845</t>
  </si>
  <si>
    <t>Journal Abbreviation: Annu Int Conf IEEE Eng Med Biol Proc</t>
  </si>
  <si>
    <t>Humans; human; Virtual reality; article; algorithm; Algorithms; computer interface; physiology; User-Computer Interface; automated pattern recognition; Pattern Recognition, Automated; Real time systems; hand; Hand; Pattern recognition; clothing; Clothing; Control theory; Electromyography; innervation; man machine interaction; Man-Machine Systems; motor activity; Motor Activity; Muscle, Skeletal; Myoelectric control; skeletal muscle; Virtual clothespin usability</t>
  </si>
  <si>
    <t>Annual International Conference of the IEEE Engineering in Medicine and Biology - Proceedings</t>
  </si>
  <si>
    <t>7HSN3JWZ</t>
  </si>
  <si>
    <t>Thi, N.; Nanayakkara, S.; Lee, H.</t>
  </si>
  <si>
    <t>Visual Field Visualizer: Easier &amp; Scalable way to be Aware of the Visual Field</t>
  </si>
  <si>
    <t>978-145035415-8 (ISBN)</t>
  </si>
  <si>
    <t>10.1145/3174910.3174931</t>
  </si>
  <si>
    <t>https://www.scopus.com/inward/record.uri?eid=2-s2.0-85044257168&amp;doi=10.1145%2f3174910.3174931&amp;partnerID=40&amp;md5=7c30ad7aae952dab1bced58dc54c9487</t>
  </si>
  <si>
    <t>Current practices in visual field tests require skilled eye care professionals and expensive machine setup in a controlled environment [1], thus, limit their availability within eye care clinics and hospitals. With a low-cost Virtual Reality (VR) device and its immersive capability, we developed Visual Field Visualizer (VFV), a prototype VR system that enables easy and scalable visual field screening. This paper aims to discuss our iterative design approach on user interfaces and usability improvement of visual field tests. Two pilot studies, conducted with 39 participants, received high users' acceptance. © 2018 Copyright is held by the owner/author(s). ACM.</t>
  </si>
  <si>
    <t>Virtual Reality; Virtual reality; User interfaces; Users' acceptance; Vision; Augmented Awareness; Automated Perimetry; Controlled environment; Current practices; Expensive machines; Eye Screening; Visual field; Visual field tests; Visual fields; VR Glasses.</t>
  </si>
  <si>
    <t>D4ASAYN7</t>
  </si>
  <si>
    <t>Jiang, W.; Zhang, L.; Liao, X.; Jin, H.; Peng, Y.</t>
  </si>
  <si>
    <t>A novel clustered MongoDB-based storage system for unstructured data with high availability</t>
  </si>
  <si>
    <t>Comput.</t>
  </si>
  <si>
    <t>0010485X (ISSN)</t>
  </si>
  <si>
    <t>10.1007/s00607-013-0355-8</t>
  </si>
  <si>
    <t>https://www.scopus.com/inward/record.uri?eid=2-s2.0-84901618963&amp;doi=10.1007%2fs00607-013-0355-8&amp;partnerID=40&amp;md5=421c4940b0fa89b7601136f433182220</t>
  </si>
  <si>
    <t>More and more unstructured data are produced and consumed over network. How to maintain these data and improve the availability and scalability of the storage systems has become a considerable challenge. Although some NoSQL systems such as Dynamo, Cassandra, MongoDB have provided different advantages for unstructured data management, no one can provide flexible query functions like MongoDB, meanwhile guarantee the availability and scalability as Cassandra simultaneously. This paper presents a new high available distributed storage system called MyStore based on an optimized clusteredMongoDB for unstructured data. Consistent hash is used to distribute data on multiple MongoDB nodes by applying virtual node method. NWR mode is applied to provide automatic backup operation and guarantee data consistency. And a gossip protocol is taken for exchanging information of failures in the system. Moreover, a user-friendly interface module and an efficient cache module are designed for improving the usability of the system. Based on above strategies, the system can realize high availability for unstructured data storage, while providing complex query functions like rational databases. Moreover, it is applied in a multi-discipline virtual experiment platform named VeePalms that has run practically. Experimental evaluation shows that the methodology is powerful enough not only to enhance the data availability, but also to improve the server's scalability. © Springer-Verlag Wien 2014.</t>
  </si>
  <si>
    <t>455-478</t>
  </si>
  <si>
    <t>Springer-Verlag Wien</t>
  </si>
  <si>
    <t>Issue: 6 Journal Abbreviation: Comput.</t>
  </si>
  <si>
    <t>Experimental evaluation; Virtual reality; Digital storage; Information management; Distributed storage; Distributed storage system; High availability; Multiprocessing systems; NoSQL; Rational functions; Scalability; Unstructured data; User friendly interface; Virtual experiments</t>
  </si>
  <si>
    <t>Computing</t>
  </si>
  <si>
    <t>F866U47E</t>
  </si>
  <si>
    <t>Wang, B.; Moleta, T.J.; Schnabel, M.A.</t>
  </si>
  <si>
    <t>The new mirror</t>
  </si>
  <si>
    <t>Intell. Inf. - Proc. Int. Conf. Comput.-Aided Archit. Des. Res. Asia, CAADRIA</t>
  </si>
  <si>
    <t>978-988789171-0 (ISBN)</t>
  </si>
  <si>
    <t>https://www.scopus.com/inward/record.uri?eid=2-s2.0-85068386947&amp;partnerID=40&amp;md5=e4d5aad1e9a0761798df7ed663d7e3da</t>
  </si>
  <si>
    <t>Technology inevitably evolves and develops rapidly in the modern era, industries and professions continue to strive in integrating, adapting and utilising these advancements to improve, optimise and improve the process of design to manufacture to the user experience. One such system that fits into this category is the advent of Virtual Reality and Augmented Reality. The numerous possibilities to which these visually and spatially immersive systems opportunities for immense innovation often lacks direction or an ultimate goal thus rendering this piece of software to often be little more than a visualisation tool.This paper recognises the unique position that VR allows and seeks to interrogate and deconstruct current, traditional design processes to better utilise VR in aiding and reinforcing the idea of partial testing of ideas and concepts throughout the design cycle. Different sciences such as psychology, processes and automation from computational design and considerations within software development will be employed and injected into the broader architectural context in which this research presides. In addition to the VR headset, eye tracking external hardware are integrated to develop a seamless tool and workflow that allows us, as designers to better interrogate clients behaviour within our designed digital representations which leads to validations, evaluations and criticisms of our actions within the architectural realm. © 2019 and published by the Association for Computer-Aided Architectural Design Research in Asia (CAADRIA), Hong Kong.</t>
  </si>
  <si>
    <t>535-544</t>
  </si>
  <si>
    <t>The Association for Computer-Aided Architectural Design Research in Asia (CAADRIA)</t>
  </si>
  <si>
    <t>Journal Abbreviation: Intell. Inf. - Proc. Int. Conf. Comput.-Aided Archit. Des. Res. Asia, CAADRIA</t>
  </si>
  <si>
    <t>Architectural design; Virtual reality; Augmented reality; User experience; Software testing; Software design; Eye tracking; Computational design; Design cycle; Design process; Digital representations; External hardware; Immersive System</t>
  </si>
  <si>
    <t>Haeusler M.H.; Schnabel M.A.; Fukuda T.</t>
  </si>
  <si>
    <t>Intelligent and Informed - Proceedings of the 24th International Conference on Computer-Aided Architectural Design Research in Asia, CAADRIA 2019</t>
  </si>
  <si>
    <t>GG9ICMD4</t>
  </si>
  <si>
    <t>Helgath, J.; Braun, P.; Pritschet, A.; Schubert, M.; Böhm, P.; Isemann, D.</t>
  </si>
  <si>
    <t>Investigating the Effect of Different Autonomy Levels on User Acceptance and User Experience in Self-driving Cars with a VR Driving Simulator</t>
  </si>
  <si>
    <t>03029743 (ISSN); 978-331991805-1 (ISBN)</t>
  </si>
  <si>
    <t>10.1007/978-3-319-91806-8_19</t>
  </si>
  <si>
    <t>https://www.scopus.com/inward/record.uri?eid=2-s2.0-85050599865&amp;doi=10.1007%2f978-3-319-91806-8_19&amp;partnerID=40&amp;md5=a05e32343741693fdedb30e88defd602</t>
  </si>
  <si>
    <t>The possible transition to fully autonomous cars represents a paradigm shift, which is likely to have a profound impact on driving experience and automobile technology acceptance. Using an online questionnaire, Rödel et al. [7] have found that measures for User Acceptance (UA) and User Experience (UX) decline with increasing autonomy level. In this study, we investigate the differences in UA and UX for vehicles with different levels of automation in a more immersive context. We used a simple driving simulator setup in a virtual reality environment (using an Oculus Rift headset). We designed three tasks which each represented a different level of automation and asked participants (N = 17) to fill out the Car Technology Acceptance Model (CTAM) questionnaire after using each autonomy level. The immersion of the simulator setup was assessed with a standardized questionnaire. In contrast to Rödel et al. [7] results do not show a general decline in UA and UX with increasing autonomy, but suggest that Performance Expectancy, Perceived Safety and Social Influence are significantly higher for the fully automated condition than for no automation. The scores for immersion ranging about the average of benchmark evaluations indicate that the users felt quite immersed, but that there is still room for improving the VR setup. © 2018, Springer International Publishing AG, part of Springer Nature.</t>
  </si>
  <si>
    <t>247-256</t>
  </si>
  <si>
    <t>10920 LNCS</t>
  </si>
  <si>
    <t>Automation; Virtual reality; Economic and social effects; User experience; Automobile simulators; Driving simulator; Surveys; Automation levels; User Experience; User acceptance; Technology acceptance model; Car technology acceptance model (CTAM); Driving automation levels; User Acceptance; VR driving simulator</t>
  </si>
  <si>
    <t>Marcus A.; Wang W.</t>
  </si>
  <si>
    <t>MIP6QKSE</t>
  </si>
  <si>
    <t>Thawonmas, R.; Shuda, T.</t>
  </si>
  <si>
    <t>Frame selection for automatic comic generation from museum playlog in metaverse</t>
  </si>
  <si>
    <t>Proc. IADIS Int. Conf. Game Entertain. Technol., Part IADIS Multi Conf. Comput. Sci. Inf. Syst., MCCSIS</t>
  </si>
  <si>
    <t>978-972893950-2 (ISBN)</t>
  </si>
  <si>
    <t>https://www.scopus.com/inward/record.uri?eid=2-s2.0-84865108358&amp;partnerID=40&amp;md5=24c9a562c2dc164f910249c1f8f42fed</t>
  </si>
  <si>
    <t>The paper presents a system for generating comics from museum playlog in Metaverse. Metaverse is a 3D virtual world in which users can act freely, such as visiting museums or chatting with others, according to their own purposes. Compared with existing approaches for representing user experiences using snapshots or video clips, the comic approach can 1) allow users to grasp the whole story at a glance, 2) facilitate distinguishing of important frames, and 3) exploit varieties of comic writing techniques. In order to summarize user experience into comic's frames, detection of important experience, interesting exhibits in case of the museums, is an important task. In this paper, we propose a visiting-time based method for frame extraction. After describing each module of our system, we discuss a system evaluation where the effectiveness of the proposed frame extraction method is confirmed. © 2011 IADIS.</t>
  </si>
  <si>
    <t>43-50</t>
  </si>
  <si>
    <t>Journal Abbreviation: Proc. IADIS Int. Conf. Game Entertain. Technol., Part IADIS Multi Conf. Comput. Sci. Inf. Syst., MCCSIS</t>
  </si>
  <si>
    <t>Virtual reality; Information systems; User experience; Virtual worlds; Museums; Museum; Comic; Computer science; Frame extraction; Frame selection; Metaverse; Playlog; System evaluation; Video clips</t>
  </si>
  <si>
    <t>Proceedings of the IADIS International Conference Game and Entertainment Technologies 2011, Part of the IADIS Multi Conference on Computer Science and Information Systems 2011, MCCSIS 2011</t>
  </si>
  <si>
    <t>QC5N49JG</t>
  </si>
  <si>
    <t>Sligar, S.R.; Zeng, X.</t>
  </si>
  <si>
    <t>Evaluation of website accessibility of state vocational rehabilitation agencies</t>
  </si>
  <si>
    <t>Journal of Rehabilitation</t>
  </si>
  <si>
    <t>00224154 (ISSN)</t>
  </si>
  <si>
    <t>https://www.scopus.com/inward/record.uri?eid=2-s2.0-42549172470&amp;partnerID=40&amp;md5=fa8ef53dfb5da6946225a06087177cab</t>
  </si>
  <si>
    <t>State vocational rehabilitation (VR) agencies, either serving a general population of persons with disabilities or specifically for persons who are blind, communicate with potential consumers and the public through websites. To examine the accessibility of VR websites for persons with disabilities, we used the automated tool Bobby to evaluate 80 home pages. We found that all 80 agencies had a working website, though 34 (43%) provided no information about the site's accessibility. Seven (9%) of the websites did not pass the Bobby evaluation. We also examined the types of violations and the relationship between the two agencies' web sites. Recommendations include posting web accessibility logos to inform consumers, and future research to evaluate several pages within the website and evaluate website usability.</t>
  </si>
  <si>
    <t>J. Rehabil.</t>
  </si>
  <si>
    <t>IQ99N3YN</t>
  </si>
  <si>
    <t>Schmucker, M.; Igel, C.; Haag, M.</t>
  </si>
  <si>
    <t>Evaluation of depth cameras for use as an augmented reality emergency ruler</t>
  </si>
  <si>
    <t>Stud. Health Technol. Informatics</t>
  </si>
  <si>
    <t>09269630 (ISSN); 978-161499970-6 (ISBN)</t>
  </si>
  <si>
    <t>10.3233/978-1-61499-971-3-17</t>
  </si>
  <si>
    <t>https://www.scopus.com/inward/record.uri?eid=2-s2.0-85066484971&amp;doi=10.3233%2f978-1-61499-971-3-17&amp;partnerID=40&amp;md5=8f74ddfc26f3d7ab58d5301d50d86be1</t>
  </si>
  <si>
    <t>Children are rarely affected by medical emergencies. The experience of doctors or paramedics with child emergencies is correspondingly poor. The anatomical features and individual calculations make such an emergency much more error-prone than a comparable adult emergency. Particularly in dose calculations, critical errors occur time and again. Since these calculations are based on the child’s weight, which is preclinically often derived from the size of the child, the number of errors can be minimized with an assistance service that performs all calculations based on the size. Technically, it is possible to detect the size with a depth camera, which is occasionally installed in smartphones or head-mounted displays. In order to investigate to what extent these cameras provide precise results, a study with 33 children was carried out. The children were measured with both an emergency ruler and an augmented reality app with associated smartphone with depth camera. The result is that the depth camera does not provide significantly different results than an emergency ruler. This allows further research, e.g. the automatic recognition of patients with the help of machine learning or usability studies, to be tackled. © 2019 The authors, AIT Austrian Institute of Technology and IOS Press.</t>
  </si>
  <si>
    <t>17-24</t>
  </si>
  <si>
    <t>IOS Press</t>
  </si>
  <si>
    <t>Journal Abbreviation: Stud. Health Technol. Informatics</t>
  </si>
  <si>
    <t>Mobile applications; Adult; Humans; Child; Usability studies; human; adult; Augmented reality; Helmet mounted displays; Resuscitation; Machine Learning; Learning systems; computer interface; User-Computer Interface; machine learning; Errors; Smartphones; Cameras; Head mounted displays; child; mHealth; smartphone; Smartphone; User-computer interface; Anatomical features; Automatic recognition; body weight; Body Weight; Emergencies; emergency; Medical informatics; Professional-Patient Relations; professional-patient relationship; User-computer interfaces</t>
  </si>
  <si>
    <t>Hayn D.; Eggerth A.; Schreier G.</t>
  </si>
  <si>
    <t>Studies in Health Technology and Informatics</t>
  </si>
  <si>
    <t>9IG3SXUR</t>
  </si>
  <si>
    <t>Ruskó, L.; Mátéka, I.; Kriston, A.</t>
  </si>
  <si>
    <t>Virtual volume resection using multi-resolution triangular representation of B-spline surfaces</t>
  </si>
  <si>
    <t>18727565 (ISSN)</t>
  </si>
  <si>
    <t>10.1016/j.cmpb.2013.04.017</t>
  </si>
  <si>
    <t>https://www.scopus.com/inward/record.uri?eid=2-s2.0-84880039008&amp;doi=10.1016%2fj.cmpb.2013.04.017&amp;partnerID=40&amp;md5=35b5de5763be807f0a6d37025f0897bd</t>
  </si>
  <si>
    <t>Computer assisted analysis of organs has an important role in clinical diagnosis and therapy planning. As well as the visualization, the manipulation of 3-dimensional (3D) objects are key features of medical image processing tools. The goal of this work was to develop an efficient and easy to use tool that allows the physician to partition a segmented organ into its segments or lobes.The proposed tool allows the user to define a cutting surface by drawing some traces on 2D sections of a 3D object, cut the object into two pieces with a smooth surface that fits the input traces, and iterate the process until the object is partitioned at the desired level. The tool is based on an algorithm that interpolates the user-defined traces with B-spline surface and computes a binary cutting volume that represents the different sides of the surface. The computation of the cutting volume is based on the multi-resolution triangulation of the B-spline surface.The proposed algorithm was integrated into an open-source medical image processing framework. Using the tool, the user can select the object to be partitioned (e.g. segmented liver), define the cutting surface based on the corresponding medical image (medical image visualizing the internal structure of the liver), cut the selected object, and iterate the process. In case of liver segment separation, the cuts can be performed according to a predefined sequence, which makes it possible to label the temporary as well as the final partitions (lobes, segments) automatically.The presented tool was evaluated for anatomical segment separation of the liver involving 14 cases and virtual liver tumor resection involving one case. The segment separation was repeated 3 different times by one physician for all cases, and the average and the standard deviation of segment volumes were computed. According to the test experiences the presented algorithm proved to be efficient and user-friendly enough to perform free form cuts for liver segment separation and virtual liver tumor resection. The volume quantification of segments showed good correlation with the prior art and the vessel-based liver segment separation, which demonstrate the clinical usability of the presented method. © 2013 Elsevier Ireland Ltd.</t>
  </si>
  <si>
    <t>315-329</t>
  </si>
  <si>
    <t>virtual reality; Humans; Diagnosis; Automation; human; Three dimensional computer graphics; article; Reproducibility of Results; Surgery, Computer-Assisted; algorithm; Algorithms; Software; simulation; Imaging, Three-Dimensional; image processing; Image Processing, Computer-Assisted; Tomography, X-Ray Computed; liver; Liver; Three dimensional; Tools; Computer Simulation; Programming Languages; B-spline surface; cancer surgery; Clinical diagnosis; Computer aided analysis; Computer-assisted analysis; Image processing; Internal structure; Interpolation; Liver lobe; Liver lobe and segment separation; Liver Neoplasms; liver tumor; liver weight; Medical image processing; Models, Theoretical; Multi-resolution triangulation; Multi-resolution triangulations; physician; Radiographic Image Interpretation, Computer-Assisted; Reference Values; Separation; triangulation; Triangulation; Tumors; Two dimensional; Virtual volume resection; Volume quantification</t>
  </si>
  <si>
    <t>UI3BU2NZ</t>
  </si>
  <si>
    <t>Alshammari, N.; Alshammari, T.; Sedky, M.; Champion, J.; Bauer, C.</t>
  </si>
  <si>
    <t>OpenSHS: Open smart home simulator</t>
  </si>
  <si>
    <t>10.3390/s17051003</t>
  </si>
  <si>
    <t>https://www.scopus.com/inward/record.uri?eid=2-s2.0-85018381371&amp;doi=10.3390%2fs17051003&amp;partnerID=40&amp;md5=864fbd1d76962619913c868c9cfa6f19</t>
  </si>
  <si>
    <t>This paper develops a new hybrid, open-source, cross-platform 3D smart home simulator, OpenSHS, for dataset generation. OpenSHS offers an opportunity for researchers in the field of the Internet of Things (IoT) and machine learning to test and evaluate their models. Following a hybrid approach, OpenSHS combines advantages from both interactive and model-based approaches. This approach reduces the time and efforts required to generate simulated smart home datasets. We have designed a replication algorithm for extending and expanding a dataset. A small sample dataset produced, by OpenSHS, can be extended without affecting the logical order of the events. The replication provides a solution for generating large representative smart home datasets. We have built an extensible library of smart devices that facilitates the simulation of current and future smart home environments. Our tool divides the dataset generation process into three distinct phases: first design: the researcher designs the initial virtual environment by building the home, importing smart devices and creating contexts; second, simulation: the participant simulates his/her context-specific events; and third, aggregation: the researcher applies the replication algorithm to generate the final dataset. We conducted a study to assess the ease of use of our tool on the System Usability Scale (SUS). © 2017 by the authors. Licensee MDPI, Basel, Switzerland.</t>
  </si>
  <si>
    <t>Automation; Virtual reality; Visualization; Learning systems; Smart home; Smart homes; Artificial intelligence; Simulation; Intelligent buildings; Internet of things; Machine learning; Extensible library; Internet of thing (IOT); Model based approach; Replication algorithm; Smart home simulators; System Usability Scale (SUS); Visualisation</t>
  </si>
  <si>
    <t>S56ZTJUP</t>
  </si>
  <si>
    <t>Richards, D.; Taylor, M.</t>
  </si>
  <si>
    <t>Incremental learning via exceptions for agents and humans: Evaluating KR comprehensibility and usability</t>
  </si>
  <si>
    <t>16113349 (ISSN); 3642152457 (ISBN); 978-364215245-0 (ISBN)</t>
  </si>
  <si>
    <t>10.1007/978-3-642-15246-7_65</t>
  </si>
  <si>
    <t>https://www.scopus.com/inward/record.uri?eid=2-s2.0-78049306586&amp;doi=10.1007%2f978-3-642-15246-7_65&amp;partnerID=40&amp;md5=3de197a5283c95c64db74f7c9d3d31cb</t>
  </si>
  <si>
    <t>Acquiring knowledge directly from the domain expert requires a knowledge representation and specification method that is comprehensible and feasible for the holder and creator of that knowledge. The technique, known as multiple classification ripple down rules (MCRDR), is novelly applied to the problem of building and maintaining a library of training scenarios for use by customs and immigration officer trainees in our agent-based virtual environment which may be indexed for retrieval based on the rules associated with them. Our evaluation study aims to demonstrate the utility of the MCRDR combined case and exception structure rule-based approach over standard rules alone and a non-case-based approach. © 2010 Springer-Verlag Berlin Heidelberg.</t>
  </si>
  <si>
    <t>655-661</t>
  </si>
  <si>
    <t>6230 LNAI</t>
  </si>
  <si>
    <t>Virtual environments; Virtual reality; Artificial intelligence; Knowledge representation; Digital libraries; Evaluation study; Domain experts; Rule-based approach; Agent based; Case-based approach; Incremental learning; Multiple classification ripple down rules; Training scenario</t>
  </si>
  <si>
    <t>T8742ZBM</t>
  </si>
  <si>
    <t>Papoi, D.; Stuerzlinger, W.</t>
  </si>
  <si>
    <t>Improved Automatic Speed Control for 3D Navigation</t>
  </si>
  <si>
    <t>03029743 (ISSN); 978-303022513-1 (ISBN)</t>
  </si>
  <si>
    <t>10.1007/978-3-030-22514-8_23</t>
  </si>
  <si>
    <t>https://www.scopus.com/inward/record.uri?eid=2-s2.0-85067660481&amp;doi=10.1007%2f978-3-030-22514-8_23&amp;partnerID=40&amp;md5=cd20cbcfe87b2eed3cb7821af35ef710</t>
  </si>
  <si>
    <t>As technology progresses, it is possible to increase the size and complexity of 3D virtual environments. Thus, we need deal with multiscale virtual environments today. Ideally, the user should be able to navigate such environments efficiently and robustly, which requires control of the user speed during navigation. Manual speed control across multiple scales of magnitude suffers from issues such as overshooting behaviors and introduces additional complexity. Most previously presented methods to automatically control the speed of navigation do not generalize well to environments with varying scales. We present an improved method to automatically control the speed of the user in 3D virtual environment navigation. The main benefit of our approach is that it automatically adapts the navigation speed in a manner that enables efficient navigation with maximum freedom, while still avoiding collisions. The results of a usability test show a significant reduction in completion time for a multi-scale navigation task. © Springer Nature Switzerland AG 2019.</t>
  </si>
  <si>
    <t>278-290</t>
  </si>
  <si>
    <t>11542 LNCS</t>
  </si>
  <si>
    <t>Virtual environments; 3-D virtual environment; Virtual reality; Air navigation; Usability tests; Navigation; 3D navigation; Navigation tasks; Automatic speed controls; Completion time; Navigation speed; Speed; Speed control; Speed regulators; Technology progress</t>
  </si>
  <si>
    <t>Gavrilova M.; Chang J.; Thalmann N.M.; Thalmann N.M.; Hitzer E.; Ishikawa H.</t>
  </si>
  <si>
    <t>M6P2EG74</t>
  </si>
  <si>
    <t>Sprute, D.; Tönnies, K.; König, M.</t>
  </si>
  <si>
    <t>Interactive restriction of a mobile robot's workspace in a smart home environment</t>
  </si>
  <si>
    <t>Journal of Ambient Intelligence and Smart Environments</t>
  </si>
  <si>
    <t>18761364 (ISSN)</t>
  </si>
  <si>
    <t>10.3233/AIS-190539</t>
  </si>
  <si>
    <t>https://www.scopus.com/inward/record.uri?eid=2-s2.0-85075666580&amp;doi=10.3233%2fAIS-190539&amp;partnerID=40&amp;md5=4f9a38d379156d6703f72f10dd69138a</t>
  </si>
  <si>
    <t>Virtual borders are employed to allow humans the interactive and flexible restriction of their mobile robots' workspaces in human-centered environments, e.g. to exclude privacy zones from the workspace or to indicate certain areas for working. They have been successfully specified in interaction processes using methods from human-robot interaction. However, these methods often lack an expressive feedback system, are restricted to robot's on-board interaction capabilities and require a direct line of sight between human and robot. This negatively affects the user experience and interaction time. Therefore, we investigate the effect of a smart environment on the teaching of virtual borders with the objective to enhance the perceptual and interaction capabilities of a robot. For this purpose, we propose a novel interaction method based on a laser pointer, that leverages a smart home environment in the interaction process. This interaction method comprises an architecture for a smart home environment designed to support the interaction process, the cooperation of human, robot and smart environment in the interaction process, a cooperative perception including stationary and mobile cameras to perceive laser spots and an algorithm to extract virtual borders from multiple camera observations. The results of an experimental evaluation support our hypotheses that our novel interaction method features a significantly shorter interaction time and a better user experience compared to an approach without support of a smart environment. Moreover, the interaction method does not negatively affect other user requirements concerning completeness and accuracy. © 2019 - IOS Press and the authors. All rights reserved.</t>
  </si>
  <si>
    <t>475-494</t>
  </si>
  <si>
    <t>J. Ambient Intell. Smart Environ.</t>
  </si>
  <si>
    <t>Publisher: IOS Press</t>
  </si>
  <si>
    <t>Automation; Experimental evaluation; Virtual reality; Human robot interaction; User interfaces; Smart homes; Cameras; Cooperative perception; Interaction methods; Interaction process; Mobile robots; network robot system; Robot system; Robot workspace restriction; Robot workspaces; smart home environment; virtual borders</t>
  </si>
  <si>
    <t>RPFI8CQQ</t>
  </si>
  <si>
    <t>Wang, H.</t>
  </si>
  <si>
    <t>Rule-free sewing pattern adjustment with precision and efficiency</t>
  </si>
  <si>
    <t>ACM Transactions on Graphics</t>
  </si>
  <si>
    <t>07300301 (ISSN)</t>
  </si>
  <si>
    <t>10.1145/3197517.3201320</t>
  </si>
  <si>
    <t>https://www.scopus.com/inward/record.uri?eid=2-s2.0-85056699476&amp;doi=10.1145%2f3197517.3201320&amp;partnerID=40&amp;md5=1cd7bcc18432e92927dba429af0fdb8f</t>
  </si>
  <si>
    <t>Being able to customize sewing patterns for different human bodies without using any pre-defined adjustment rule will not only improve the realism of virtual humans in the entertainment industry, but also deeply affect the fashion industry by making fast fashion and made-to-measure garments more accessible. To meet the requirement set by the fashion industry, a sewing pattern adjustment system must be both efficient and precise, which unfortunately cannot be achieved by existing techniques. In this paper, we propose to solve sewing pattern adjustment as a nonlinear optimization problem immediately, rather than in two phases: A garment shape optimization phase and an inverse pattern design phase as in previous systems. This allows us to directly minimize the objective function that evaluates the fitting quality of the garment sewn from a pattern, without any compromise caused by the nonexistence of the solution to inverse pattern design. To improve the efficiency of our system, we carry out systematic research on a variety of optimization topics, including pattern parametrization, initialization, an inexact strategy, acceleration, and CPU-GPU implementation. We verify the usability of our system through automatic grading tests and made-tomeasure tests. Designers and pattern makers confirm that our pattern results are able to preserve design details and their fitting qualities are acceptable. In our computational experiment, the system further demonstrates its efficiency, reliability, and flexibility of handling various pattern designs. While our current system still needs to overcome certain limitations, we believe it is a crucial step toward fully automatic pattern design and adjustment in the future. © 2018 Association for Computing Machinery.</t>
  </si>
  <si>
    <t>ACM Trans Graphics</t>
  </si>
  <si>
    <t>Virtual reality; Efficiency; Grading; inexact methods; Inexact methods; Inverse problems; made-to-measure; Made-to-measure; Non-linear optimization; nonlinear optimization; Nonlinear programming; quasistatic simulation; Quasistatic simulations; sewing pattern; Shape optimization</t>
  </si>
  <si>
    <t>E5XKGQCR</t>
  </si>
  <si>
    <t>Stahlke, S.; Nova, A.; Mirza-Babaei, P.</t>
  </si>
  <si>
    <t>Artificial playfulness: A tool for automated agent-based playtesting</t>
  </si>
  <si>
    <t>Conf Hum Fact Comput Syst Proc</t>
  </si>
  <si>
    <t>978-145035971-9 (ISBN)</t>
  </si>
  <si>
    <t>10.1145/3290607.3313039</t>
  </si>
  <si>
    <t>https://www.scopus.com/inward/record.uri?eid=2-s2.0-85067300618&amp;doi=10.1145%2f3290607.3313039&amp;partnerID=40&amp;md5=cd050b114ab43e2e185f53df1e4a199e</t>
  </si>
  <si>
    <t>Usertesting is commonly employed in games user research (GUR) to understand the experience of players interacting with digital games. However, recruitment and testing with human users can be laborious and resource-intensive, particularly for independent developers. To help mitigate these obstacles, we are developing a framework for simulated testing sessions with agents driven by artificial intelligence (AI). Specifically, we aim to imitate the navigation of human players in a virtual world. By mimicking the tendency of users to wander, explore, become lost, and so on, these agents may be used to identify basic issues with a game's world and level design, enabling informed iteration earlier in the development process. Here, we detail our progress in developing a framework for configurable agent navigation and simple visualization of simulated data. Ultimately, we hope to provide a basis for the development of a tool for simulation-driven usability testing in games. © 2019 Copyright held by the owner/author(s).</t>
  </si>
  <si>
    <t>Journal Abbreviation: Conf Hum Fact Comput Syst Proc</t>
  </si>
  <si>
    <t>Virtual reality; Data visualization; Artificial Intelligence; Usability testing; Human engineering; Artificial intelligence; Interactive computer graphics; Software design; Human computer interaction; Human-Computer Interaction; Development process; User testing; Automated agents; Computer games; Game development; Game Development; Games user researches; Playtesting; Simulated testing; Usertesting</t>
  </si>
  <si>
    <t>Conference on Human Factors in Computing Systems - Proceedings</t>
  </si>
  <si>
    <t>92J83N9M</t>
  </si>
  <si>
    <t>Baillie, S.; Crossan, A.; Brewster, S.A.; May, S.A.; Mellor, D.J.</t>
  </si>
  <si>
    <t>Evaluating an automated haptic simulator designed for veterinary students to learn bovine rectal palpation</t>
  </si>
  <si>
    <t>Simulation in Healthcare</t>
  </si>
  <si>
    <t>1559713X (ISSN)</t>
  </si>
  <si>
    <t>10.1097/SIH.0b013e3181e369bf</t>
  </si>
  <si>
    <t>https://www.scopus.com/inward/record.uri?eid=2-s2.0-78049290337&amp;doi=10.1097%2fSIH.0b013e3181e369bf&amp;partnerID=40&amp;md5=0a7dce1df967f77e9127ebfdfb4b7134</t>
  </si>
  <si>
    <t>INTRODUCTION:: Simulators provide a potential solution to some of the challenges faced when teaching internal examinations to medical or veterinary students. A virtual reality simulator, the Haptic Cow, has been developed to teach bovine rectal palpation to veterinary students, and significant training benefits have been demonstrated. However, the training needs to be delivered by an instructor, a requirement that limits availability. This article describes the development and evaluation of an automated version that students could use on their own. METHODS:: An automated version was developed based on a recording of an expert's examination. The performance of two groups of eight students was compared. All students had undergone the traditional training in the course, namely lectures and laboratory practicals, and then group S used the simulator whereas group R had no additional training. The students were set the task of finding the uterus when examining cows. The simulator was then made available to students, and feedback about the "usability" was gathered with a questionnaire. RESULTS:: The group whose training had been supplemented with a simulator session were significantly better at finding the uterus. The questionnaire feedback was positive and indicated that students found the simulator easy to use. CONCLUSIONS:: The automated simulator equipped students with useful skills for examining cows. In addition, a simulator that does not need the presence of an instructor will increase the availability of training for students and be a more sustainable option for institutions. Copyright © 2010 Society for Simulation in Healthcare.</t>
  </si>
  <si>
    <t>261-266</t>
  </si>
  <si>
    <t>Simul. Healthc.</t>
  </si>
  <si>
    <t>Humans; human; Virtual reality; Teaching; article; questionnaire; Software; education; Educational Measurement; Validation; teaching; Training; animal; Animals; Questionnaires; computer simulation; Computer Simulation; methodology; computer program; animal model; cattle; Cattle; digital rectal examination; Digital Rectal Examination; educational status; Educational Status; England; Haptic; London; Models, Animal; Palpation; rectum; Rectum; school; Schools, Veterinary; Simulator; United Kingdom; Veterinary; veterinary medicine; Veterinary Medicine</t>
  </si>
  <si>
    <t>VEE6AJIY</t>
  </si>
  <si>
    <t>Tsakiris, A.; Moschonas, P.; Kaklanis, N.; Paliokas, I.; Stavropoulos, G.; Segouli, S.; Tzovaras, D.</t>
  </si>
  <si>
    <t>A novel accessibility assessment framework of GUI using cognitive disability simulation</t>
  </si>
  <si>
    <t>Technology and Disability</t>
  </si>
  <si>
    <t>10554181 (ISSN)</t>
  </si>
  <si>
    <t>10.3233/TAD-140411</t>
  </si>
  <si>
    <t>https://www.scopus.com/inward/record.uri?eid=2-s2.0-84913540817&amp;doi=10.3233%2fTAD-140411&amp;partnerID=40&amp;md5=233edc87b7ce46d7e213e6ef14d72b33</t>
  </si>
  <si>
    <t>BACKGROUND: Accessibility evaluation of Graphical User Interfaces (GUIs) is a field of ongoing research. Towards an evaluation framework for automatic accessibility assessment, a novel methodology using Virtual User Models (VUMs) is presented.; OBJECTIVE: To establish a new framework for GUI accessibility assessment using an automated hierarchical task analysis method which uses virtual user models for cognitive disability to replicate real testers.; METHODS: A two-phase process which involves the creation of custom GUI interaction scenario sequences in an implementation-agnostic manner and then the simulated reproduction of these interactions by virtual impaired users. Emphasis is given on the cognitive disabilities, after the development of an advanced cognitive model to be applied over well-established VUM architectures.; RESULTS: The results of the actual testers were found correlated to the results extracted from the VUMs performing the same tasks.; CONCLUSIONS: The proposed approach is a holistic accessibility assessment of GUIs using Virtual User Models (VUM) in task simulations which can describe cognitive declined functionality as parameterized by VUM. © 2014 - IOS Press and the authors. All rights reserved.</t>
  </si>
  <si>
    <t>117-126</t>
  </si>
  <si>
    <t>Technol. Disabil.</t>
  </si>
  <si>
    <t>virtual reality; Article; controlled study; human; adult; female; male; task performance; young adult; user experience; clinical article; pilot study; computer interface; cognitive defect; validation process; evaluation; screening test; process development; computer simulation; computer assisted therapy; computer program; accessibility assessment; amnesia; cognition simulation; cognitive therapy; decision support system; GUI simulation; mental capacity; mild cognitive impairment; process model; response time; virtual user model</t>
  </si>
  <si>
    <t>ZJD7RALQ</t>
  </si>
  <si>
    <t>Loch, F.; Ziegler, U.; Vogel-Heuser, B.</t>
  </si>
  <si>
    <t>Using Real-time Feedback in a Training System for Manual Procedures</t>
  </si>
  <si>
    <t>24058963 (ISSN)</t>
  </si>
  <si>
    <t>10.1016/j.ifacol.2019.12.089</t>
  </si>
  <si>
    <t>https://www.scopus.com/inward/record.uri?eid=2-s2.0-85079690571&amp;doi=10.1016%2fj.ifacol.2019.12.089&amp;partnerID=40&amp;md5=ddc59501e4180e4241b0a28f5bf65ecc</t>
  </si>
  <si>
    <t>Human workers remain a crucial part of production environments for conducting manual assembly or maintenance procedures, despite increasing automation. These procedures cannot be automated due to small lot sizes and high product variability. Performing manual procedures requires the application of procedural knowledge and motor skills, such as bimanual coordination and complex hand movements. Many training systems for manual procedures have been proposed. However, these systems focus on declarative knowledge about the sequence of work steps. The inherent haptic characteristics and sense for correct tool and component application gets lost. This paper proposes a training system that introduces haptic components for the training of assembly procedures. The proposed training system instructs the user in mounting two physical components by employing haptic and visual interaction. Augmentations and real-time feedback assist the user during the training and enable the assessment of applying accurate torque on screw connections. An evaluation compared the training system against video-based instructions and indicated advantages for the proposed system in terms of objective measures (time on task, precision) and in terms of subjective measures such as usability. Copyright © 2019. The Authors. Published by Elsevier Ltd. All rights reserved.</t>
  </si>
  <si>
    <t>241-246</t>
  </si>
  <si>
    <t>Issue: 19 Journal Abbreviation: IFAC-PapersOnLine</t>
  </si>
  <si>
    <t>virtual reality; Virtual reality; Personnel training; Man machine systems; Human Machine Interface; Assembly; Maintenance procedures; Human-machine interface; assembly; Bimanual coordination; Component application; Coordination reactions; Declarative knowledge; Interactive computer systems; man-machine systems; Physical components; Procedural knowledge; Production environments; training</t>
  </si>
  <si>
    <t>Tsiopoulos L.</t>
  </si>
  <si>
    <t>B6AYCRPZ</t>
  </si>
  <si>
    <t>Koskinen, H.; Laarni, J.; Torkkeli, K.; Vesaoja, E.</t>
  </si>
  <si>
    <t>Pre-validation of anew interactive operating panel system for a nuclear power plant training simulator</t>
  </si>
  <si>
    <t>https://www.scopus.com/inward/record.uri?eid=2-s2.0-84946134983&amp;partnerID=40&amp;md5=9c3e86d30f3ef1244e5aff89e75beb24</t>
  </si>
  <si>
    <t>The paper presents the results of validation testing of a new interactive operating panel system, ""Virtual panels," for a training simulator of Fortum Loviisa nuclear power plant. The Virtual panels are realized as a part of the turbine side human system interface (HSI)by introducing a set of touch sensitive wall-mounted displays for the control room (CR) of the training simulator. The implementation of the touch based technology originates from the on-going automation modernization in which the CR HSIs are also renewed. In the training simulator the Virtual panels are used for simulating the conventional operating panels used in the main CR for the process control. The Virtual panel system was assessed with two different kinds of test settings: 1) interface element level by testing simple operation sequences (e.g. opening a valve), and 2) testing how the Virtual panels function as a part of the turbine side HSIs by running a more comprehensive scenario (loss of BB-busbar). The results of the evaluation showed that the functionality of the Virtual panel system was quite high, and the operators could well identify the HSI components of the renewed turbine side. According to the Systems Usability survey results, the overall usability of the panel system was also relatively good. In total, twenty-three deviations between conventional panels and Mrtual panels were identified, some of which may have implications for operator training and CR validation testing.</t>
  </si>
  <si>
    <t>1579-1588</t>
  </si>
  <si>
    <t>Virtual reality; Personnel training; Man machine systems; Surveys; Simulators; HSI evaluation; Human system interface; Interactive display; Interactive displays; Interface elements; Modernization; Nuclear energy; Nuclear power plants; Operator training; Operator work; Training simulator; Turbines; Validation testing</t>
  </si>
  <si>
    <t>CHHWRJPN</t>
  </si>
  <si>
    <t>Tsai, M.-K.; Yau, N.-J.</t>
  </si>
  <si>
    <t>Enhancing usability of augmented-reality-based mobile escape guidelines for radioactive accidents</t>
  </si>
  <si>
    <t>Journal of Environmental Radioactivity</t>
  </si>
  <si>
    <t>18791700 (ISSN)</t>
  </si>
  <si>
    <t>10.1016/j.jenvrad.2012.11.001</t>
  </si>
  <si>
    <t>https://www.scopus.com/inward/record.uri?eid=2-s2.0-84875244634&amp;doi=10.1016%2fj.jenvrad.2012.11.001&amp;partnerID=40&amp;md5=486387ce8933371d1977f4f48279559e</t>
  </si>
  <si>
    <t>When radioactive accidents occur, modern tools in information technology for emergency response are good solutions to reduce the impact. Since few information-technology-based applications were developed for people during radioactive accidents, a previous study (Tsai et al., 2012) proposed augmented-reality-based mobile escape guidelines. However, because of the lack of transparent escape routes and indoor escape guidelines, the usability of the guidelines is limited. Therefore, this study introduces route planning and mobile three-dimensional (3D) graphics techniques to address the identified problems. The proposed approach could correctly present the geographical relationship from user locations to the anticipated shelters, and quickly show the floor-plan drawings as users are in the buildings. Based on the testing results, in contrast to the previous study, this study offered better escape routes, when the participants performed self-evacuation in outdoor and indoor environments. Overall, this study is not only a useful reference for similar studies, but also a beneficial tool for emergency response during radioactive accidents. © 2012 Elsevier Ltd.</t>
  </si>
  <si>
    <t>15-20</t>
  </si>
  <si>
    <t>J. Environ. Radioact.</t>
  </si>
  <si>
    <t>virtual reality; automation; article; Emergency response; Accidents; augmented reality based mobile escape guideline; Augmented-reality; Cellular Phone; disaster management; Disaster Planning; emergency care; environmental exposure; Escape guideline; Fukushima Nuclear Accident; Geographical information; geography; Global position; graphical method; guideline; health care planning; Indoor environment; information technology; Information technology; nuclear accident; planning process; radioactive accident; Radioactive accidents; Radioactive Hazard Release; radioactive pollution; radioactive waste disposal; Radioactivity; Route planning; Three-dimensional (3D) graphics; three-dimensional modeling; User location</t>
  </si>
  <si>
    <t>XQVKJF6W</t>
  </si>
  <si>
    <t>Kropewnicki, J.; Fry, D.; Poyau, J.</t>
  </si>
  <si>
    <t>Developing an instructor support system for Scenario-Based Training</t>
  </si>
  <si>
    <t>Spring Simul. Multiconference, SpringSim</t>
  </si>
  <si>
    <t>978-145030069-8 (ISBN)</t>
  </si>
  <si>
    <t>10.1145/1878537.1878573</t>
  </si>
  <si>
    <t>https://www.scopus.com/inward/record.uri?eid=2-s2.0-78650602578&amp;doi=10.1145%2f1878537.1878573&amp;partnerID=40&amp;md5=15a7658e55cbcf7db082d42f3a73d29d</t>
  </si>
  <si>
    <t>Developing an Instructor Support System for Scenario-Based Training Scenario-Based Training (SBT) is an increasingly important technique for the modern military. For instance, the United States Marine Corps fields a Deployable Virtual Training Environment (DVTE), a multi-user laptop-based simulation suite that supports SBT. The DVTE suite is missing a single point of interface where instructors can locate lessons that satisfy training requirements, deploy simulations and monitor trainee progress. An interface point needs to be highly modular, have a clean, intuitive user interface, support multiple instructors and simultaneous exercises, and save training history. An Instructor Support System (ISS) has been developed that enhances SBT for DVTE under the Next-Generation Expeditionary Warfare Intelligent Training (NEW-IT) program. The ISS assists the instructor in several ways: suggesting lessons that satisfy training requirements; configuring laptops and applications; providing near real-time monitoring of trainee progress; and automation allowing the instructor the freedom to directly interact with trainees. The ISS architecture has already enabled three iterations of GUI and functional changes based on usability testing and user feedback with two more rounds planned for the future. The ISS increases training throughput, giving the instructor more time to concentrate on effective Scenario-Based Training. © 2010 SCS.</t>
  </si>
  <si>
    <t>Journal Abbreviation: Spring Simul. Multiconference, SpringSim</t>
  </si>
  <si>
    <t>Virtual reality; Personnel training; DVTE; Instructor Support; ISS; Laptop computers; NEW-IT; Scenario-based training; Scenario-Based Training</t>
  </si>
  <si>
    <t>Spring Simulation Multiconference 2010, SpringSim'10</t>
  </si>
  <si>
    <t>HTZ46K7D</t>
  </si>
  <si>
    <t>Huang, X.; Twycross, J.; Wild, F.</t>
  </si>
  <si>
    <t>A Process for the Semi-Automated Generation of Life-Sized, Interactive 3D Character Models for Holographic Projection</t>
  </si>
  <si>
    <t>Int. Conf. 3D Immers., IC3D - Proc.</t>
  </si>
  <si>
    <t>978-172815189-2 (ISBN)</t>
  </si>
  <si>
    <t>10.1109/IC3D48390.2019.8975993</t>
  </si>
  <si>
    <t>https://www.scopus.com/inward/record.uri?eid=2-s2.0-85084470257&amp;doi=10.1109%2fIC3D48390.2019.8975993&amp;partnerID=40&amp;md5=d98e6a4185a57dfcb4420ef5b122720c</t>
  </si>
  <si>
    <t>By mixing digital data into the real world, Augmented Reality (AR) can deliver potent immersive and interactive experience to its users. In many application contexts, this requires the capability to deploy animated, high fidelity 3D character models. In this paper, we propose a novel approach to efficiently transform - using 3D scanning - an actor to a photorealistic, animated character. This generated 3D assistant must be able to move to perform recorded motion capture data, and it must be able to generate dialogue with lip sync to naturally interact with the users. The approach we propose for creating these virtual AR assistants utilizes photogrammetric scanning, motion capture, and free viewpoint video for their integration in Unity. We deploy the Occipital Structure sensor to acquire static high-resolution textured surfaces, and a Vicon motion capture system to track series of movements. The proposed capturing process consists of the steps scanning, reconstruction with Wrap 3 and Maya, editing texture maps to reduce artefacts with Photoshop, and rigging with Maya and Motion Builder to render the models fit for animation and lip-sync using LipSyncPro. We test the approach in Unity by scanning two human models with 23 captured animations each. Our findings indicate that the major factors affecting the result quality are environment setup, lighting, and processing constraints. © 2019 IEEE.</t>
  </si>
  <si>
    <t>2019-January</t>
  </si>
  <si>
    <t>Journal Abbreviation: Int. Conf. 3D Immers., IC3D - Proc.</t>
  </si>
  <si>
    <t>Augmented Reality; Augmented reality; Three dimensional computer graphics; Motion capture; User experience; 3D scanning; Animated characters; Application contexts; Automated generation; Free-viewpoint video; Holographic projection; motion capture; Motion capture data; Motion capture system; reconstruction; Scanning; Textured surface</t>
  </si>
  <si>
    <t>2019 International Conference on 3D Immersion, IC3D 2019 - Proceedings</t>
  </si>
  <si>
    <t>PYHG7LV3</t>
  </si>
  <si>
    <t>Riener, A.; Pfleging, B.; Geisler, S.; van Laack, A.; Wintersberger, P.</t>
  </si>
  <si>
    <t>6th Workshop “Automotive HMI”: Vehicles in the Transition from Manual to Automated Driving</t>
  </si>
  <si>
    <t>Lect. Notes Informatics (LNI), Proc. - Series Ges. Inform. (GI)</t>
  </si>
  <si>
    <t>16175468 (ISSN)</t>
  </si>
  <si>
    <t>10.18420/muc2017-ws09-0425</t>
  </si>
  <si>
    <t>https://www.scopus.com/inward/record.uri?eid=2-s2.0-85138825696&amp;doi=10.18420%2fmuc2017-ws09-0425&amp;partnerID=40&amp;md5=3f72701477d44efc9e1e95f4b7cec377</t>
  </si>
  <si>
    <t>Automotive user interfaces and, in particular, automated vehicle technology pose a plenty of challenges to researchers, vehicle manufacturers, and third-party suppliers to support all diverse facets of user needs. To give an example, they emerge from the variation of different user groups ranging from inexperienced, thrill-seeking young novice drivers to elderly drivers with all their natural limitations. To allow assessing the quality of automotive user interfaces and automated driving technology already during development and within virtual test processes, the proposed workshop is dedicated to the quest of finding objective, quantifiable quality criteria for describing future driving experiences. The workshop is intended for HCI, AutomotiveUI, and “Human Factors” researchers and practitioners as well for designers and developers. In adherence to the conference main topic “Spielend einfach interagieren”, this workshop calls in particular for contributions in the in the area of human factors and ergonomics (user acceptance, trust, user experience, driving fun, natural user interfaces, etc.) and artificial intelligence (predictive HMIs, adaptive systems, intuitive interaction). Copyright (C) 2017 bei den Autoren.</t>
  </si>
  <si>
    <t>409-415</t>
  </si>
  <si>
    <t>Gesellschaft fur Informatik (GI)</t>
  </si>
  <si>
    <t>Journal Abbreviation: Lect. Notes Informatics (LNI), Proc. - Series Ges. Inform. (GI)</t>
  </si>
  <si>
    <t>Automation; Virtual reality; User interfaces; Automated driving; Automated vehicles; Ergonomics; Automotives; Vehicles; User need; Testing; Automotive HMI; Novice drivers; Third parties; User groups; Vehicle manufacturers; Vehicle technology</t>
  </si>
  <si>
    <t>Lecture Notes in Informatics (LNI), Proceedings - Series of the Gesellschaft fur Informatik (GI)</t>
  </si>
  <si>
    <t>RLRHPTQY</t>
  </si>
  <si>
    <t>Thawonmas, R.; Fukumoto, A.</t>
  </si>
  <si>
    <t>Frame extraction based on displacement amount for automatic comic generation from metaverse museum visit log</t>
  </si>
  <si>
    <t>Smart Innov. Syst. Technol.</t>
  </si>
  <si>
    <t>21903026 (ISSN); 978-364222157-6 (ISBN)</t>
  </si>
  <si>
    <t>10.1007/978-3-642-22158-3_16</t>
  </si>
  <si>
    <t>https://www.scopus.com/inward/record.uri?eid=2-s2.0-84866323472&amp;doi=10.1007%2f978-3-642-22158-3_16&amp;partnerID=40&amp;md5=6f88415dbe0c9709b285e69166b61aaf</t>
  </si>
  <si>
    <t>The paper describes a system for automatically generating comics from visit log at a metaverse museum. Metaverse is a 3D virtual world in which users can act freely, such as visiting museums or chatting with others, according to their own purposes. Compared with existing approaches for representing user experiences using snapshots or video clips, the comic approach can 1) allow users to grasp the whole story at a glance, 2) facilitate distinguishing of important frames, and 3) exploit varieties of comic writing techniques. In order to summarize user experience into comic's frames, detection of important experience, interesting exhibits in case of the museums, is an important task. In this paper, we propose a method for frame extraction based on the displacement amount of a user of interest at a metaverse museum. After describing each module of our system, we discuss a user evaluation in which the effectiveness of the proposed frame extraction method is confirmed when it is compared with a typical baseline method. © 2011 Springer-Verlag Berlin Heidelberg.</t>
  </si>
  <si>
    <t>153-162</t>
  </si>
  <si>
    <t>11 SIST</t>
  </si>
  <si>
    <t>Journal Abbreviation: Smart Innov. Syst. Technol.</t>
  </si>
  <si>
    <t>Virtual reality; User experience; Virtual worlds; Multimedia systems; Interactive computer systems; Frame extraction; Video clips; Baseline methods; User evaluations; User of interests</t>
  </si>
  <si>
    <t>Smart Innovation, Systems and Technologies</t>
  </si>
  <si>
    <t>SHPFPYD6</t>
  </si>
  <si>
    <t>Garzotto, F.; Gelsomini, M.; Matarazzo, V.; Messina, N.; Occhiuto, D.</t>
  </si>
  <si>
    <t>XOOM: An end-user development tool for web-based wearable immersive virtual tours</t>
  </si>
  <si>
    <t>03029743 (ISSN); 978-331960130-4 (ISBN)</t>
  </si>
  <si>
    <t>10.1007/978-3-319-60131-1_36</t>
  </si>
  <si>
    <t>https://www.scopus.com/inward/record.uri?eid=2-s2.0-85020529976&amp;doi=10.1007%2f978-3-319-60131-1_36&amp;partnerID=40&amp;md5=2bca8a3e401cfd2baf3329bfe474fcb0</t>
  </si>
  <si>
    <t>XOOM is a novel interactive tool that allows non ICT-specialists to create web-based applications of Wearable Immersive Virtual Reality (WIVR) technology that use 360° realistic videos as interactive virtual tours. These applications are interesting for various domains that range from gaming, entertainment, cultural heritage, and tourism to education, professional training, therapy and rehabilitation. 360° interactive videos are displayed on smartphones placed on head-mounted VR viewers. Users explore the virtual environment and interact with active elements through head direction and movements. The virtual scenarios can be seen also on external displays (e.g., TV monitors or projections) to enable other users to participate in the experience, and to control the VR space if needed, e.g., for education, training or therapy purposes. XOOM provides the functionality to create applications of this kind, import 360° videos, concatenate them, and superimpose active elements on the virtual scenes, so that the resulting environment is more interactive and is customized to the requirement of a specific domain and user target. XOOM also supports automatic data gathering and visualizations (e.g., through heat-maps) of the users’ experience, which can be inspected for analytics purposes, as well as for user evaluation (e.g., in education, training, or therapy contexts). The paper describes the design and implementation of XOOM, and reports a case study in the therapeutic context. © Springer International Publishing AG 2017.</t>
  </si>
  <si>
    <t>507-519</t>
  </si>
  <si>
    <t>10360 LNCS</t>
  </si>
  <si>
    <t>Virtual reality; Helmet mounted displays; Immersive virtual reality; Personnel training; Human computer interaction; Head-mounted display; Wearable technology; Display devices; Head mounted displays; Design and implementations; Websites; 360° videos; Children; End user development; Professional training; Therapy and rehabilitation; Virtual tour - end user development - therapy - neurodevelopmental disorder; Wearable immersive virtual reality; Web-based applications</t>
  </si>
  <si>
    <t>Cabot J.; De Virgilio R.; Torlone R.</t>
  </si>
  <si>
    <t>M24E3SL7</t>
  </si>
  <si>
    <t>Maraj, C.; Hurter, J.; Reed, D.; Hoayun, C.; Moodie, A.; Bonnie Eifert, L.</t>
  </si>
  <si>
    <t>Usability dimensions of simulated detectors for improvised explosive devices</t>
  </si>
  <si>
    <t>03029743 (ISSN); 978-303050787-9 (ISBN)</t>
  </si>
  <si>
    <t>10.1007/978-3-030-50788-6_10</t>
  </si>
  <si>
    <t>https://www.scopus.com/inward/record.uri?eid=2-s2.0-85088740681&amp;doi=10.1007%2f978-3-030-50788-6_10&amp;partnerID=40&amp;md5=850e112136871dfe52157b4833f58653</t>
  </si>
  <si>
    <t>Buried explosives, such as Improvised Explosive Devices (IEDs), are a threat to operations in the military. This challenge is compounded by limits in training the military to detect IEDs using a handheld detector called the Minehound. Thus, a call for improved IED detector training is answered through testing Virtual Reality (VR) and Augmented Reality (AR) Minehound trainers: these trainers are subjected to a usability investigation. Further, the VR and AR developments are framed within a Systems Engineering Process Model. Following traditional Minehound instruction, a data collection event occurred over a two-day period, where ten Marines were asked to use the VR and AR Minehound trainers. Following the Marines’ interaction with the trainers, the Marines completed a usability questionnaire (i.e., agreement with the usefulness, ease of use, ease of learning, satisfaction, and effectiveness of the trainers; and responses to open-ended questions). Ratings indicated future iterations should not emphasize aspects of ease of use and ease of learning, such as for user interfaces, but emphasize challenging aspects, such as helping users accomplish training tasks. A lower mean score in the usefulness subscale may be linked to breaks in fidelity (e.g., lag issues, weight issues, and a non-standard Marine sweep technique). Primarily, considerations for usefulness, satisfaction, and effectiveness aspects should be highlighted in the future as per an iterative design process. A cost-benefit analysis is given to compare the traditional and experimental forms of training. Limits of the study include experimental, environmental, and technical issues. © 2020, This is a U.S. government work and not under copyright protection in the U.S.; foreign copyright protection may apply.</t>
  </si>
  <si>
    <t>130-143</t>
  </si>
  <si>
    <t>12214 LNCS</t>
  </si>
  <si>
    <t>Augmented Reality; Virtual Reality; Usability; Augmented reality; User interfaces; Iterative methods; Data collection; Simulation; Human computer interaction; Ease-of-use; Iterative design; Training; Adaptive systems; Automatic identification; Cost benefit analysis; Explosives; Handheld detectors; Improvised explosive devices; Mobile telecommunication systems; Open-ended questions; Sweep technique; Systems engineering process</t>
  </si>
  <si>
    <t>Sottilare R.A.; Schwarz J.</t>
  </si>
  <si>
    <t>I3CKGIP9</t>
  </si>
  <si>
    <t>Benz, T.M.; Riedl, B.; Chuang, L.L.</t>
  </si>
  <si>
    <t>Projection displays induce less simulator sickness than head-mounted displays in a real vehicle driving simulator</t>
  </si>
  <si>
    <t>Proc. - Int. ACM Conf. Automot. User Interfaces Interact. Veh. Appl., AutomotiveUI</t>
  </si>
  <si>
    <t>978-145036884-1 (ISBN)</t>
  </si>
  <si>
    <t>10.1145/3342197.3344515</t>
  </si>
  <si>
    <t>https://www.scopus.com/inward/record.uri?eid=2-s2.0-85073437754&amp;doi=10.1145%2f3342197.3344515&amp;partnerID=40&amp;md5=ad903840afcdbbf4d027b3f7f5432eef</t>
  </si>
  <si>
    <t>Driving simulators are necessary for evaluating automotive technology for human users. While they can vary in terms of their fidelity, it is essential that users experience minimal simulator sickness and high presence in them. In this paper, we present two experiments that investigate how a virtual driving simulation system could be visually presented within a real vehicle, which moves on a test track but displays a virtual environment. Specifically, we contrasted display presentation of the simulation using either head-mounted displays (HMDs) or fixed displays in the vehicle itself. Overall, we find that fixed displays induced less simulator sickness than HMDs. Neither HMDs or fixed displays induced a stronger presence in our implementation, even when the field-of-view of the fixed display was extended. We discuss the implications of this, particular in the context of scenarios that could induce considerable motion sickness, such as testing non-driving activities in automated vehicles. © 2019 Copyright held by the owner/author(s). Publication rights licensed to ACM.</t>
  </si>
  <si>
    <t>379-387</t>
  </si>
  <si>
    <t>Journal Abbreviation: Proc. - Int. ACM Conf. Automot. User Interfaces Interact. Veh. Appl., AutomotiveUI</t>
  </si>
  <si>
    <t>Diseases; Virtual reality; Helmet mounted displays; Visualization; User interfaces; Driving simulation system; Motion sickness; Automobile simulators; Driving simulation; Vehicles; Street traffic control; Simulator sickness; Head mounted displays; Automotive technology; Flow visualization; HMD; Projection; Projection displays</t>
  </si>
  <si>
    <t>Proceedings - 11th International ACM Conference on Automotive User Interfaces and Interactive Vehicular Applications, AutomotiveUI 2019</t>
  </si>
  <si>
    <t>YVHJI2F2</t>
  </si>
  <si>
    <t>Bushnevskiy, A.; Sorgi, L.; Rosenhahn, B.</t>
  </si>
  <si>
    <t>Multicamera Calibration from Visible and Mirrored Epipoles</t>
  </si>
  <si>
    <t>Proc IEEE Comput Soc Conf Comput Vision Pattern Recognit</t>
  </si>
  <si>
    <t>10636919 (ISSN); 978-146738850-4 (ISBN)</t>
  </si>
  <si>
    <t>10.1109/CVPR.2016.367</t>
  </si>
  <si>
    <t>https://www.scopus.com/inward/record.uri?eid=2-s2.0-84986268777&amp;doi=10.1109%2fCVPR.2016.367&amp;partnerID=40&amp;md5=e14fc461b0befbc9a40b1ad0db1a5850</t>
  </si>
  <si>
    <t>Multicamera rigs are used in a large number of 3D Vision applications, such as 3D modeling, motion capture or telepresence and a robust calibration is of utmost importance in order to achieve a high accuracy results. In many practical configurations the cameras in a rig are arranged in such a way, that they can observe each other, in other words a number of epipoles correspond to the real image points. In this paper we propose a solution for the automatic recovery of the external calibration of a multicamera system by enforcing only simple geometrical constraints, arising from the epipole visibility, without using any calibration object, such as checkerboards, laser pointers or similar. Additionally, we introduce an extension of the method that handles the case of epipoles being visible in the reflection of a planar mirror, which makes the algorithm suitable for the calibration of any multicamera system, irrespective of the number of cameras and their actual mutual visibility, and furthermore we remark that it requires only one or a few images per camera and therefore features a high speed and usability. We produce an evidence of the algorithm effectiveness by presenting a wide set of tests performed on synthetic as well as real datasets and we compare the results with those obtained using a traditional LED-based algorithm. The real datasets have been captured using a multicamera Virtual Reality (VR) rig and a spherical dome configuration for 3D reconstruction. © 2016 IEEE.</t>
  </si>
  <si>
    <t>3373-3381</t>
  </si>
  <si>
    <t>2016-December</t>
  </si>
  <si>
    <t>Journal Abbreviation: Proc IEEE Comput Soc Conf Comput Vision Pattern Recognit</t>
  </si>
  <si>
    <t>Virtual reality; Three dimensional computer graphics; Visual communication; Cameras; Computer vision; Visibility; Calibration; 3D reconstruction; Automatic recovery; External calibration; Geometrical constraints; Multi-camera calibration; Multi-camera rigs; Multicamera systems; Pattern recognition; Robust calibration</t>
  </si>
  <si>
    <t>Proceedings of the IEEE Computer Society Conference on Computer Vision and Pattern Recognition</t>
  </si>
  <si>
    <t>E58AFJIF</t>
  </si>
  <si>
    <t>McGlinn, K.; O'Neill, E.; Gibney, A.; O'Sullivan, D.; Lewis, D.</t>
  </si>
  <si>
    <t>Simcon: A tool to support rapid evaluation of smart building application design using context simulation and virtual reality</t>
  </si>
  <si>
    <t>09486968 (ISSN)</t>
  </si>
  <si>
    <t>https://www.scopus.com/inward/record.uri?eid=2-s2.0-78549265112&amp;partnerID=40&amp;md5=dd880c6d751ac163e982660baa4115b4</t>
  </si>
  <si>
    <t>The promise of smart buildings (SBs) is a safer more productive environment for users and a more operationally efficient building for owners. The automation of building function is highly dependent on sensing devices and Smart Building Applications(SBAs), which are often only evaluated in situ post deployment, making re-development costly. In this paper we explore our experiences developing a Simulated Context (SimCon) Model which currently supports taking information from a Virtual Reality (VR) SB and converting it into three types of location context to conduct early rapid evaluation of location based SBAs. This model is expressed using the Sensor Modelling Language (sensorML). It also explores the integration of this model into the Industry Foundation Classes (IFC) for modelling and simulating SBs. It also details usability evaluations of the SimConfig and SimConViz Tool for improving evaluation during the design phase of smart building development life cycle. © J.UCS.</t>
  </si>
  <si>
    <t>1992-2018</t>
  </si>
  <si>
    <t>Simulation; Evaluation; Modelling; Smart building applications</t>
  </si>
  <si>
    <t>JBKWHTK9</t>
  </si>
  <si>
    <t>Wang, J.; Suenaga, H.; Liao, H.; Hoshi, K.; Yang, L.; Kobayashi, E.; Sakuma, I.</t>
  </si>
  <si>
    <t>Real-time computer-generated integral imaging and 3D image calibration for augmented reality surgical navigation</t>
  </si>
  <si>
    <t>Computerized Medical Imaging and Graphics</t>
  </si>
  <si>
    <t>08956111 (ISSN)</t>
  </si>
  <si>
    <t>10.1016/j.compmedimag.2014.11.003</t>
  </si>
  <si>
    <t>https://www.scopus.com/inward/record.uri?eid=2-s2.0-84922990022&amp;doi=10.1016%2fj.compmedimag.2014.11.003&amp;partnerID=40&amp;md5=a3e216e4f11cf832fb9daf6c95f6a1d5</t>
  </si>
  <si>
    <t>Autostereoscopic 3D image overlay for augmented reality (AR) based surgical navigation has been studied and reported many times. For the purpose of surgical overlay, the 3D image is expected to have the same geometric shape as the original organ, and can be transformed to a specified location for image overlay. However, how to generate a 3D image with high geometric fidelity and quantitative evaluation of 3D image's geometric accuracy have not been addressed. This paper proposes a graphics processing unit (GPU) based computer-generated integral imaging pipeline for real-time autostereoscopic 3D display, and an automatic closed-loop 3D image calibration paradigm for displaying undistorted 3D images. Based on the proposed methods, a novel AR device for 3D image surgical overlay is presented, which mainly consists of a 3D display, an AR window, a stereo camera for 3D measurement, and a workstation for information processing. The evaluation on the 3D image rendering performance with 2560 × 1600 elemental image resolution shows the rendering speeds of 50-60 frames per second (fps) for surface models, and 5-8 fps for large medical volumes. The evaluation of the undistorted 3D image after the calibration yields sub-millimeter geometric accuracy. A phantom experiment simulating oral and maxillofacial surgery was also performed to evaluate the proposed AR overlay device in terms of the image registration accuracy, 3D image overlay accuracy, and the visual effects of the overlay. The experimental results show satisfactory image registration and image overlay accuracy, and confirm the system usability. © 2014 Elsevier Ltd.</t>
  </si>
  <si>
    <t>147-159</t>
  </si>
  <si>
    <t>Comput. Med. Imaging Graph.</t>
  </si>
  <si>
    <t>virtual reality; Humans; Article; human; measurement accuracy; procedures; Augmented reality; Three dimensional computer graphics; reproducibility; Reproducibility of Results; Surgery; Surgery, Computer-Assisted; Rendering (computer graphics); algorithm; Algorithms; computer interface; User-Computer Interface; automated pattern recognition; Pattern Recognition, Automated; 3-D image; simulation; Imaging, Three-Dimensional; Medical imaging; Navigation; priority journal; geometry; Geometry; quantitative analysis; computer assisted surgery; Quantitative evaluation; Calibration; calibration; Three dimensional displays; sensitivity and specificity; Sensitivity and Specificity; Stereo image processing; 3D image calibration; augmented reality navigation; Autostereoscopic 3D displays; computer assisted diagnosis; Computer graphics equipment; computer system; Computer Systems; Computer-generated integral imaging; Graphics processing unit; image enhancement; Image Enhancement; Image Interpretation, Computer-Assisted; Image registration; Image resolution; Integral imaging; maxillofacial surgery; Optical variables measurement; Oral and maxillofacial surgeries; oral surgery; Oral Surgical Procedures; phantom; Pipeline processing systems; Program processors; standards; Stereo tracking; Surgical navigation; three dimensional imaging</t>
  </si>
  <si>
    <t>KX3B5QU6</t>
  </si>
  <si>
    <t>Ceccacci, S.; Mengoni, M.</t>
  </si>
  <si>
    <t>Designing smart home interfaces: Traditional vs virtual prototyping</t>
  </si>
  <si>
    <t>978-145035227-7 (ISBN)</t>
  </si>
  <si>
    <t>10.1145/3056540.3056556</t>
  </si>
  <si>
    <t>https://www.scopus.com/inward/record.uri?eid=2-s2.0-85024865263&amp;doi=10.1145%2f3056540.3056556&amp;partnerID=40&amp;md5=7477481071b7893e0f05c40502defb2a</t>
  </si>
  <si>
    <t>This paper presents a structured User Centered Design (UCD) method to design and develop a highly usable smart home platform to manage the energy consumption of connected appliances. It exploits advanced Tangible Augmented Reality (TAR) technologies to virtually prototype the conceived design solutions and carry out usability testing with sample users. Usability tests are carried out both on traditional high fidelity prototypes and on an innovative Tangible Augmented Reality prototype. Experimental results prove the efficiency of the UCD approach supported by virtual prototypes, instead of traditional ones, the reliability of TAR prototypes to detect usability problems and assess user satisfaction, and its high interaction quality. Advantages obtainable by implementing the proposed structured UCD approach for web interface design, in the context of smart home, are discussed. © 2017 ACM.</t>
  </si>
  <si>
    <t>67-74</t>
  </si>
  <si>
    <t>Part F128530</t>
  </si>
  <si>
    <t>Usability problems; User satisfaction; Virtual Reality; Automation; Virtual reality; Augmented reality; User interfaces; User centered design; Usability testing; Software design; Human computer interaction; Intelligent buildings; Human-centered computing; Virtual prototyping; User interface designs; Human Computer Interaction; Virtual Prototyping; Energy utilization; Human Centered Computing; Interaction quality; Tar; User Centered Design; User Centered Design(UCD); User Interface Design; Web interface design</t>
  </si>
  <si>
    <t>TWZYYESY</t>
  </si>
  <si>
    <t>Zhang, R.; Oliver, J.H.; Noon, C.; Gilmore, B.; Winer, E.; Duncan, J.</t>
  </si>
  <si>
    <t>Immersive product configurator for conceptual design</t>
  </si>
  <si>
    <t>Proc. ASME Int. Des. Eng. Tech. Conf. Comp. Info. Eng. Conf., DETC</t>
  </si>
  <si>
    <t>0791848027 (ISBN); 978-079184802-9 (ISBN); 0791848078 (ISBN); 978-079184807-4 (ISBN)</t>
  </si>
  <si>
    <t>10.1115/DETC2007-35390</t>
  </si>
  <si>
    <t>https://www.scopus.com/inward/record.uri?eid=2-s2.0-44949085526&amp;doi=10.1115%2fDETC2007-35390&amp;partnerID=40&amp;md5=9e78b156926545e422dbffd1f1f77cec</t>
  </si>
  <si>
    <t>Currently, new product concepts are evaluated by developing detailed virtual part and assembly models with traditional Computer Aided Design (CAD) tools followed by appropriate analyses (e.g., finite element analysis, computational fluid dynamics, etc.). The creation of these models and analyses are tremendously time consuming. If a number of different conceptual configurations have been determined, it may not be possible to model and analyze each of them. Thus, promising concepts might be eliminated based solely on insufficient time to assess them. In addition, the virtual models and analyses performed are usually of much higher detail and accuracy than what is needed for such early assessment. By eliminating the time-consuming complexity of a CAD environment and incorporating qualitative assessment tools, engineers could spend more time evaluating additional concepts, which were previously abandoned due to time constraints. In this paper, a software framework, the Advanced Systems Design Suite (ASDS), for creating and evaluating conceptual design configurations in an immersive virtual reality environment is presented. The ASDS allows design concepts to be quickly modeled, analyzed, and visualized. It incorporates a PC user interface with an immersive virtual reality environment to ease the creation and assessment of conceptual design prototypes. The development of the modeling and assessment tools are presented along with a test case to demonstrate the usability and effectiveness of the framework. Copyright © 2007 by ASME.</t>
  </si>
  <si>
    <t>1403-1413</t>
  </si>
  <si>
    <t>6 PART B</t>
  </si>
  <si>
    <t>Journal Abbreviation: Proc. ASME Int. Des. Eng. Tech. Conf. Comp. Info. Eng. Conf., DETC</t>
  </si>
  <si>
    <t>Automation; Architectural design; Virtual reality; Immersive; Immersive virtual reality; User interfaces; Computer software selection and evaluation; Technology; Software design; Computer aided design; Product design; Conceptual design; Structural design; Robotics; Tools; Computer aided analysis; (algorithmic) complexity; Advanced Systems Design Suite (ASDS); Assembly modeling; assessment tools; Computational fluid dynamics; Computer control; Computer networks; Computer-aided design (CAD) tools; Computers; Conceptual design prototypes; Design automation conference (DAC); Design concepts; design configurations; Dynamical systems; Dynamics; Engineering; Finite difference method; Finite element analysis (FEA); Finite element method; Fluid dynamics; Fluid mechanics; Fluidics; Industrial engineering; International designs; Marketing; Mechanization; Modal analysis; New products; Product configuration; Product configurator; Qualitative assessment tools; software frameworks; Technical conferences; Test cases; Time constraints; Time consuming; Virtual modeling</t>
  </si>
  <si>
    <t>2007 Proceedings of the ASME International Design Engineering Technical Conferences and Computers and Information in Engineering Conference, DETC2007</t>
  </si>
  <si>
    <t>QF3TDWVQ</t>
  </si>
  <si>
    <t>Wintersberger, P.; Frison, A.-K.; Riener, A.; Von Sawitzky, T.</t>
  </si>
  <si>
    <t>Fostering user acceptance and trust in fully automated vehicles: Evaluating the potential of augmented reality</t>
  </si>
  <si>
    <t>Presence: Teleoperators and Virtual Environments</t>
  </si>
  <si>
    <t>10547460 (ISSN)</t>
  </si>
  <si>
    <t>10.1162/PRES_a_00320</t>
  </si>
  <si>
    <t>https://www.scopus.com/inward/record.uri?eid=2-s2.0-85064052716&amp;doi=10.1162%2fPRES_a_00320&amp;partnerID=40&amp;md5=9d3181da8a35739a83c38b7df2838308</t>
  </si>
  <si>
    <t>Lack of trust in or acceptance of technology are some of the fundamental problems that might prevent the dissemination of automated driving. Technological advances, such as augmented reality aids like full-sized windshield displays or AR contact lenses, could be of help to provide a better system understanding to the user. In this work, we picked up on the question of whether augmented reality assistance has the potential to increase user acceptance and trust by communicating system decisions (i.e., transparent system behavior). To prove our hypothesis, we conducted two driving simulator studies to investigate the benefit of scenario augmentation in fully automated driving—first in normal (N = 26) and then in rearward viewing (N = 18) direction. Quantitative results indicate that the augmentation of traffic objects/participants otherwise invisible (e.g., due to dense fog), or the presentation of upcoming driving maneuvers while sitting backwards, is a feasible approach to increase user acceptance and trust. Results are further backed by qualitative findings from semistructured interviews and UX curves (a method to retrospectively report experience over time). We conclude that the application of augmented reality, in particular with the emergence of more powerful, lightweight, or integrated devices, is a good opportunity with high potential for automated driving. © 2019 by the Massachusetts Institute of Technology.</t>
  </si>
  <si>
    <t>46-62</t>
  </si>
  <si>
    <t>Presence Teleoper. Virtual Environ.</t>
  </si>
  <si>
    <t>Publisher: MIT Press Journals</t>
  </si>
  <si>
    <t>Automation; Augmented reality; Automated driving; Technological advances; Windshield displays; Quantitative result; Semi structured interviews; Acceptance of technologies; Driving simulator study; Integrated device</t>
  </si>
  <si>
    <t>4AGII7AX</t>
  </si>
  <si>
    <t>Wijewickrema, S.; Piromchai, P.; Zhou, Y.; Ioannou, I.; Bailey, J.; Kennedy, G.; O'Leary, S.</t>
  </si>
  <si>
    <t>Developing effective automated feedback in temporal bone surgery simulation</t>
  </si>
  <si>
    <t>Otolaryngology - Head and Neck Surgery (United States)</t>
  </si>
  <si>
    <t>01945998 (ISSN)</t>
  </si>
  <si>
    <t>10.1177/0194599815570880</t>
  </si>
  <si>
    <t>https://www.scopus.com/inward/record.uri?eid=2-s2.0-84930412665&amp;doi=10.1177%2f0194599815570880&amp;partnerID=40&amp;md5=be1be02ad5b5ddd4963985de50c9e2e6</t>
  </si>
  <si>
    <t>Objective. We aim to test the effectiveness, accuracy, and usefulness of an automated feedback system in facilitating skill acquisition in virtual reality surgery. Study Design. We evaluate the performance of the feedback system through a randomized controlled trial of 24 students allocated to feedback and nonfeedback groups. Setting. The feedback system was based on the Melbourne University temporal bone surgery simulator. The study was conducted at the simulation laboratory of the Royal Victorian Eye and Ear Hospital, Melbourne. Subjects and Methods. The study participants were medical students from the University of Melbourne, who were asked to perform virtual cortical mastoidectomy on the simulator. The extent to which the drilling behavior of the feedback and nonfeedback groups differed was used to evaluate the effectiveness of the system. Its accuracy was determined through a postexperiment observational assessment of recordings made during the experiment by an expert surgeon. Its usability was evaluated using students self-reports of their impressions of the system. Results. A Friedman's test showed that there was a significant improvement in the drilling performance of the feedback group, x2(1) = 14.450, P &lt; .001. The postexperiment assessment demonstrated that the system provided timely feedback (when trainee behavior was detected) 88.6% of the time and appropriate feedback (accurate advice) 84.2% of the time. Participants opinions about the usefulness of the system were highly positive. Conclusion. The automated feedback system was observed to be effective in improving surgical technique, and the provided feedback was found to be accurate and useful. © 2015 American Academy of Otolaryngology - Head and Neck Surgery Foundation.</t>
  </si>
  <si>
    <t>1082-1088</t>
  </si>
  <si>
    <t>Otolaryngol. Head Neck Surg.</t>
  </si>
  <si>
    <t>virtual reality; Adult; Female; Humans; Male; Article; automation; Automation; controlled study; human; procedures; adult; female; male; medical student; surgical training; comparative study; computer interface; User-Computer Interface; education; feedback system; accuracy; Feedback; simulation; clinical competence; Clinical Competence; Educational Measurement; randomized controlled trial; Students, Medical; medical education; surgery; anatomy and histology; simulator; self report; computer simulation; Computer Simulation; Australia; automated feedback in surgery simulation; confidence interval; Confidence Intervals; ear surgery; Education, Medical, Undergraduate; mastoid; Mastoid; mastoidectomy; orthopedic surgery; Otologic Surgical Procedures; simulation-based surgical training; statistics and numerical data; surgical technique; temporal bone; Temporal Bone; virtual reality temporal bone surgery</t>
  </si>
  <si>
    <t>T87UG2IC</t>
  </si>
  <si>
    <t>Hargrove, L.J.; Scheme, E.J.; Englehart, K.B.; Hudgins, B.S.</t>
  </si>
  <si>
    <t>Multiple binary classifications via linear discriminant analysis for improved controllability of a powered prosthesis</t>
  </si>
  <si>
    <t>IEEE Transactions on Neural Systems and Rehabilitation Engineering</t>
  </si>
  <si>
    <t>15344320 (ISSN)</t>
  </si>
  <si>
    <t>10.1109/TNSRE.2009.2039590</t>
  </si>
  <si>
    <t>https://www.scopus.com/inward/record.uri?eid=2-s2.0-77649305658&amp;doi=10.1109%2fTNSRE.2009.2039590&amp;partnerID=40&amp;md5=e8a6bbc567fdca86135109997731f36a</t>
  </si>
  <si>
    <t>This paper describes a novel pattern recognition based myoelectric control system that uses parallel binary classification and class specific thresholds. The system was designed with an intuitive configuration interface, similar to existing conventional myoelectric control systems. The system was assessed quantitatively with a classification error metric and functionally with a clothespin test implemented in a virtual environment. For each case, the proposed system was compared to a state-of-the-art pattern recognition system based on linear discriminant analysis and a conventional myoelectric control scheme with mode switching. These assessments showed that the proposed control system had a higher classification error (p &lt; 0.001) but yielded a more controllable myoelectric control system (p &lt; 0.001) as measured through a clothespin usability test implemented in a virtual environment. Furthermore, the system was computationally simple and applicable for real-time embedded implementation. This work provides the basis for a clinically viable pattern recognition based myoelectric control system which is robust, easily configured, and highly usable. © 2006 IEEE.</t>
  </si>
  <si>
    <t>49-57</t>
  </si>
  <si>
    <t>IEEE Trans. Neural Syst. Rehabil. Eng.</t>
  </si>
  <si>
    <t>Humans; Virtual environments; human; Virtual reality; article; physiology; automated pattern recognition; Pattern Recognition, Automated; feedback system; Feedback; Usability tests; biological model; computer simulation; Computer Simulation; methodology; computer assisted therapy; Therapy, Computer-Assisted; Pattern recognition; Control theory; Electromyography; Myoelectric control; Artificial arms; Artificial limbs; Artificial Limbs; Binary classification; Classification errors; discriminant analysis; Discriminant analysis; Discriminant Analysis; Electromyogram; Electromyogram (EMG); electromyography; Embedded implementation; Fisher information matrix; Image retrieval; limb prosthesis; Linear discriminant analysis; Linear Models; Mode-switching; Models, Biological; muscle contraction; Muscle Contraction; Myoelectric signal (MES); Myoelectric signals; Myoelectrically controlled prosthetics; Novel patterns; Pattern recognition systems; Powered prostheses; statistical model</t>
  </si>
  <si>
    <t>6KZQS2M9</t>
  </si>
  <si>
    <t>Gonzalez-Calleros, J.; Osterloh, J.-P.; Feil, R.; Lüdtke, A.</t>
  </si>
  <si>
    <t>Automated UI evaluation based on a cognitive architecture and UsiXML</t>
  </si>
  <si>
    <t>Science of Computer Programming</t>
  </si>
  <si>
    <t>01676423 (ISSN)</t>
  </si>
  <si>
    <t>10.1016/j.scico.2013.04.004</t>
  </si>
  <si>
    <t>https://www.scopus.com/inward/record.uri?eid=2-s2.0-84897912788&amp;doi=10.1016%2fj.scico.2013.04.004&amp;partnerID=40&amp;md5=04c1d389c5d20ced4be7013b72447402</t>
  </si>
  <si>
    <t>In this paper, we will present a method for automated UI evaluation. Based on a formal UI description in UsiXML, the cognitive architecture CASCaS will be used to predict human performance on the UI, in terms of task execution time, workload and possible human errors. In addition, the UsabilityAdviser tool can be used to check the UI description against a set of usability rules. This approach fits well into the human performance and error analysis proposed in the European project HUMAN, where virtual testers (CASCaS) are used to evaluate assistant systems and their HMI. A first step for realizing this approach has been made by implementing a 3D rendering engine for UsiXML. © 2013 Elsevier B.V. All rights reserved.</t>
  </si>
  <si>
    <t>Sci Comput Program</t>
  </si>
  <si>
    <t>Virtual reality; Computer programming; Software engineering; CASCaS; Cognitive architecture; Cognitive architectures; UI evaluation; UI evaluations; UsabilityAdviser; UsiXML</t>
  </si>
  <si>
    <t>7KCWBGZB</t>
  </si>
  <si>
    <t>Lamberti, F.; Manuri, F.; Paravati, G.; Piumatti, G.; Sanna, A.</t>
  </si>
  <si>
    <t>Using Semantics to Automatically Generate Speech Interfaces for Wearable Virtual and Augmented Reality Applications</t>
  </si>
  <si>
    <t>IEEE Transactions on Human-Machine Systems</t>
  </si>
  <si>
    <t>21682291 (ISSN)</t>
  </si>
  <si>
    <t>10.1109/THMS.2016.2573830</t>
  </si>
  <si>
    <t>https://www.scopus.com/inward/record.uri?eid=2-s2.0-84975862393&amp;doi=10.1109%2fTHMS.2016.2573830&amp;partnerID=40&amp;md5=02bdd7233d7c9f2e294a5a7cba7bb66a</t>
  </si>
  <si>
    <t>This paper presents a framework for automatically generating speech-based interfaces for controlling virtual and augmented reality (AR) applications on wearable devices. Starting from a set of natural language descriptions of application functionalities and a catalog of general-purpose icons, annotated with possible implied meanings, the framework creates both vocabulary and grammar for the speech recognizer, as well as a graphic interface for the target application, where icons are expected to be capable of evoking available commands. To minimize user's cognitive load during interaction, a semantics-based optimization mechanism was used to find the best mapping between icons and functionalities and to expand the set of valid commands. The framework was evaluated by using it with see-through glasses for AR-based maintenance and repair operations. A set of experimental tests were designed to objectively and subjectively assess first-time user experience of the automatically generated interface in relation to that of a fully personalized interface. Moreover, intuitiveness of the automatically generated interface was studied by analyzing the results obtained through trained users on the same interface. Objective measurements (in terms of false positives, false negatives, task completion rate, and average number of attempts for activating functionalities) and subjective measurements (about system response accuracy, likeability, cognitive demand, annoyance, habitability, and speed) reveal that the results obtained by the first-time users and experienced users with the proposed framework's interface are very similar, and their performances are comparable with those of both the considered references. © 2016 IEEE.</t>
  </si>
  <si>
    <t>152-164</t>
  </si>
  <si>
    <t>IEEE Trans. Human Mach. Syst.</t>
  </si>
  <si>
    <t>Virtual reality; Augmented reality; User interfaces; Virtual and augmented reality; Semantics; speech; Speech; Wearable computers; Augmented reality (AR); Automatic test pattern generation; automatic user interface generation; Automatic user interface generations; Automatically generated; Objective measurement; Personalized interface; Repair; semantics; Speech-based interfaces; Subjective measurements; virtual reality (VR); wearable devices; Wearable devices</t>
  </si>
  <si>
    <t>GUS46MLA</t>
  </si>
  <si>
    <t>Satter, K.M.; Butler, A.C.</t>
  </si>
  <si>
    <t>Finding the value of immersive, virtual environments using competitive usability analysis</t>
  </si>
  <si>
    <t>Journal of Computing and Information Science in Engineering</t>
  </si>
  <si>
    <t>15309827 (ISSN)</t>
  </si>
  <si>
    <t>10.1115/1.4005722</t>
  </si>
  <si>
    <t>https://www.scopus.com/inward/record.uri?eid=2-s2.0-84862291449&amp;doi=10.1115%2f1.4005722&amp;partnerID=40&amp;md5=ed23393435357709b7b1976b7836dc97</t>
  </si>
  <si>
    <t>Competitive usability studies are employed providing empirical results in a design evaluation and review context. Populations of novice and experienced users are tested against benchmarks. Benchmark 1 is used to evaluate error identification and correction. Benchmark 2 is employed to evaluate the user's ability to understand spatial relationships. Both benchmarks 1 and 2 compare individual performance with performance of teams. Benchmarks 3 measures quantity of errors found in a 4 min time frame. For benchmark 1, there is a statistically significant difference, but for benchmark 2, there is no statistical difference. For benchmark 3, there is a statistically significant increase in errors found. This increase is evaluated for impact as cost avoidance. It is concluded that cost avoidance by using a cave automatic virtual environment (CAVE) immersive virtual environment easily justifies the CAVE system. © 2012 American Society of Mechanical Engineers.</t>
  </si>
  <si>
    <t>J. Comput. Inf. Sci. Eng.</t>
  </si>
  <si>
    <t>Publisher: American Society of Mechanical Engineers (ASME)</t>
  </si>
  <si>
    <t>usability; virtual reality; Virtual reality; Errors; design evaluation; Design evaluation; virtual environments; Benchmarking; collaboration; cost avoidance; Cost avoidances; design review; Design review</t>
  </si>
  <si>
    <t>5EGI9R5T</t>
  </si>
  <si>
    <t>Taunay, H.; Rodrigues, V.; Braga, R.; Elias, P.; Reis, L.; Raposo, A.</t>
  </si>
  <si>
    <t>A spatial partitioning heuristic for automatic adjustment of the 3D navigation speed in multiscale virtual environments</t>
  </si>
  <si>
    <t>10.1109/3DUI.2015.7131726</t>
  </si>
  <si>
    <t>https://www.scopus.com/inward/record.uri?eid=2-s2.0-84939141448&amp;doi=10.1109%2f3DUI.2015.7131726&amp;partnerID=40&amp;md5=6dc148202a400bf1e0988df74c8db818</t>
  </si>
  <si>
    <t>With technological evolution, 3D virtual environments continuously increase in complexity; such is the case with multiscale environments, i.e., environments that contain groups of objects with extremely diverging levels of scale. Such scale variation makes it difficult to interactively navigate in this kind of environment since it demands repetitive and unintuitive adjustments in either velocity or scale, according to the objects that are close to the observer, in order to ensure a comfortable and stable navigation. Recent efforts have been developed working with heavy GPU based solutions that are not feasible depending on the complexity of the scene. We present a spatial partitioning heuristic for automatic adjustment of the 3D navigation speed in a multiscale virtual environment minimizing the workload and transferring it to the CPU, allowing the GPU to focus on rendering. With the scene topological information obtained in a preprocessing phase, we are able to obtain, in real-time, the closest object and the visible objects, which allows us to propose two different heuristics for automatic navigation velocity. Finally, in order to verify the usability gain in the proposed approaches, user tests were conducted to evaluate the accuracy and efficiency of the navigation, and users' subjective satisfaction. Results were particularly significant for demonstrating accuracy gain in navigation while using the proposed approaches for both laymen and advanced users. © 2015 IEEE.</t>
  </si>
  <si>
    <t>51-58</t>
  </si>
  <si>
    <t>3-D virtual environment; Virtual reality; VR; Three dimensional computer graphics; User interfaces; Automatic adjustment; Navigation; Navigation techniques; Automatic navigation; Automatic Speed Adjustment; Multiscale; Navigation Techniques; Speed adjustment; Technological evolution; Topological information</t>
  </si>
  <si>
    <t>8Y99CAJS</t>
  </si>
  <si>
    <t>Lu, C.-H.</t>
  </si>
  <si>
    <t>IoT-enabled adaptive context-aware and playful cyber-physical system for everyday energy savings</t>
  </si>
  <si>
    <t>10.1109/THMS.2018.2844119</t>
  </si>
  <si>
    <t>https://www.scopus.com/inward/record.uri?eid=2-s2.0-85048893411&amp;doi=10.1109%2fTHMS.2018.2844119&amp;partnerID=40&amp;md5=fd172f73f3adaddbcf904235e3e88b98</t>
  </si>
  <si>
    <t>Home energy savings via eco-feedback is often considered a serious, tedious, or even distracting task due to the need for frequent human intervention. In addition, most existing eco-feedback systems focus on providing energy usage information and ignore the users' contexts. This may render the systems incapable of capturing the users' changes when proenvironmental behaviors have been encouraged. To address this, our study leverages Internet of Things (IoT) enabled technologies to realize an adaptive, context-aware, and playful cyber-physical system (CPS) for everyday energy savings with the hope of facilitating collaboration between a person and a smart energy-saving (ES) system to the greatest extent possible. To leverage the benefits inherent in a CPS, bidirectionally interactive information visualization integrated with pet-raising gamification was incorporated into the adaptive CPS. This synchronized the information from the user's physical environment with its counterpart in the pet's virtual environment. In order to provide flexible services, all IoT devices were agentized to form reconfigurable agents. In our experimental evaluation, this bidirectional mapping empowered users to flexibly control remote appliances anywhere and anytime in a more natural way, which enabled users to embed interactions with the ES CPS into their daily routine. Furthermore, improvements to system adaptability (33% in precision; 21% in recall) along with the reconfigurable ES services (additionally saving energy about 16.21%) show the potential of the CPS to enhance the users' experience and prolong the users' engagement in everyday energy savings. © 2018 IEEE.</t>
  </si>
  <si>
    <t>380-391</t>
  </si>
  <si>
    <t>Information systems; Visualization; Mixed reality; Adaptation; Feedback; Actuators; Internet of things; Gamification; Energy conservation; Adaptive systems; Flow visualization; Internet of Things (IOT); Energy utilization; Cyber Physical System; Embedded systems; Biological system modeling; Biological systems; Context- awareness; context-awareness; cyber-physical system (CPS); Cyber-Physical System (CPS); energy savings; gamification-based eco-automation (mixed reality); Internet of Things (IoT); Sensors</t>
  </si>
  <si>
    <t>EHJYVI6B</t>
  </si>
  <si>
    <t>Stanney, K.M.; Mollaghasemi, M.</t>
  </si>
  <si>
    <t>Workshop 1: Virtual environment usability engineering</t>
  </si>
  <si>
    <t>Proc Virtual Real Annu Int Symp</t>
  </si>
  <si>
    <t>https://www.scopus.com/inward/record.uri?eid=2-s2.0-0036116851&amp;partnerID=40&amp;md5=84c2f6527dfdff9504cce946e8fc0222</t>
  </si>
  <si>
    <t>The Naval Air Warfare Center Training Systems Division developed a new automated approach to virtual environment (VE) usability assessment. The resulting scheme is called Multi-Criteria Assessment of Usability for Virtual Environments (MAUVE). This report presents the latest in VE usability engineering approaches, including the MAUVE evaluation approach.</t>
  </si>
  <si>
    <t>Journal Abbreviation: Proc Virtual Real Annu Int Symp</t>
  </si>
  <si>
    <t>Usability engineering; Virtual reality; Usability evaluation; Decision making; Human computer interaction; Graphical user interfaces; Systems analysis; Multi-criteria decision making</t>
  </si>
  <si>
    <t>Proceedings - Virtual Reality Annual International Symposium</t>
  </si>
  <si>
    <t>8N893KWX</t>
  </si>
  <si>
    <t>Vanderdonckt, J.; Chieu, C.K.; Bouillon, L.; Trevisan, D.</t>
  </si>
  <si>
    <t>Model-based design, generation, and evaluation of virtual user interfaces</t>
  </si>
  <si>
    <t>Web3d Symp. Proc.</t>
  </si>
  <si>
    <t>15529886 (ISSN)</t>
  </si>
  <si>
    <t>10.1145/985040.985048</t>
  </si>
  <si>
    <t>https://www.scopus.com/inward/record.uri?eid=2-s2.0-2942652630&amp;doi=10.1145%2f985040.985048&amp;partnerID=40&amp;md5=458d190085f8f7051dd029cd48609617</t>
  </si>
  <si>
    <t>A transformational approach is presented that models a virtual reality scene based on Abstract Interaction Objects (AIOs) from which virtual user interfaces can be designed (by progressive AIO assembling), generated (by automated code generation in VRML/X3D), and evaluated (by static analysis of the ongoing model). The underlying model is shared with user interfaces descriptions in other worlds like Windows applications, web pages, etc. It is therefore possible to recuperate existing interfaces in these worlds to automatically create their counterpart in VRML/X3D. This process is called virtualization of flat user interfaces. This approach allows the progressive and flexible retargeting of non-virtual interfaces in the virtual world to achieve a better integration with other applications.</t>
  </si>
  <si>
    <t>51-60</t>
  </si>
  <si>
    <t>Association for Computing Machinery (ACM)</t>
  </si>
  <si>
    <t>Journal Abbreviation: Web3d Symp. Proc.</t>
  </si>
  <si>
    <t>Usability engineering; Virtual reality; Virtualization; User interfaces; Algorithms; Human engineering; Evaluation; Interface evaluation; Abstract interaction object (AIO); Abstract Interaction Object (AIO); Automated code generation; Concrete interaction object (CIO); Concrete Interaction Object (CIO); Mathematical models; Retargeting; Static analysis; Transformational approach; Usability guidelines; Usability Guidelines</t>
  </si>
  <si>
    <t>Web3D Symposium Proceedings</t>
  </si>
  <si>
    <t>IMWR53JT</t>
  </si>
  <si>
    <t>Ng, F.M.; Ritchie, J.M.; Simmons, J.E.L.; Dewar, R.G.</t>
  </si>
  <si>
    <t>Designing cable harness assemblies in virtual environments</t>
  </si>
  <si>
    <t>Journal of Materials Processing Technology</t>
  </si>
  <si>
    <t>09240136 (ISSN)</t>
  </si>
  <si>
    <t>10.1016/S0924-0136(00)00725-1</t>
  </si>
  <si>
    <t>https://www.scopus.com/inward/record.uri?eid=2-s2.0-0034314470&amp;doi=10.1016%2fS0924-0136%2800%2900725-1&amp;partnerID=40&amp;md5=c0813f7607c842e45aca6ecd5aeef11b</t>
  </si>
  <si>
    <t>Cable harness assemblies are amongst the most costly items in any electro-mechanical product. The domain is not widely recognised as an area for academic research. Internationally, some efforts have been made to automate or semi-automate the choice of cable harness path through the use of artificial intelligence (AI) via CAD systems, but with little success. Common themes voiced are that the problem is too open-ended and it is very difficult to capture the design intent of the activity. Human input is still very much required to guide the computer systems to reach an 'optimum' solution. Case study investigations were carried out at five advanced manufacturing organisations to determine the current industrial practice. The investigations revealed that the cable harness design and planning (CHDP) process is essentially sequential in nature and consists of lengthy activities carried out late in the overall product development cycle. It was also found that there has been little attempt to integrate any of the core activities involved. This paper describes work undertaken at Heriot-Watt University to research the effectiveness of immersive virtual reality for designing and routing cable harnesses by enhancing the expertise of the cable harness designer rather than by replacing the individual via an automated system. The new virtual cable design system developed in the course of this work has now undergone some pilot trials to test its usability. The system will subsequently be used to carry out full industrial trials in conjunction with a number of high technology equipment manufacturers. These pilot trials, combined with the case studies of current practice carried out at the companies, have highlighted a number of issues regarding cable design, particularly that immersive VR has a potentially unique role to play in the integration of cable harness electrical and mechanical design activities.</t>
  </si>
  <si>
    <t>37-43</t>
  </si>
  <si>
    <t>J Mater Process Technol</t>
  </si>
  <si>
    <t>Publisher: Elsevier Science S.A.</t>
  </si>
  <si>
    <t>Virtual reality; Product development; Optimization; Artificial intelligence; Computer aided design; Product design; Cable harness design and planning process; Computer aided manufacturing; Electric cables; Electromechanical product; Process engineering</t>
  </si>
  <si>
    <t>89MGCQHA</t>
  </si>
  <si>
    <t>Beconytė, G.</t>
  </si>
  <si>
    <t>Methodological problems of cartographic representation: Human-centred approach</t>
  </si>
  <si>
    <t>Land Use Law &amp; Zoning Digest</t>
  </si>
  <si>
    <t>00947598 (ISSN)</t>
  </si>
  <si>
    <t>10.1080/13921541.2002.10552954</t>
  </si>
  <si>
    <t>https://www.scopus.com/inward/record.uri?eid=2-s2.0-85024240857&amp;doi=10.1080%2f13921541.2002.10552954&amp;partnerID=40&amp;md5=099b33032a0ff9b0a145c45ea69ac586</t>
  </si>
  <si>
    <t>Applying technologies of automated collection and visualisation (animated, reactive, interactive maps; 3D. virtual reality) it has become possible to represent and update large amounts of diverse, complex geographical data, visualise spatial changes over time and other characteristics which could not appear in static maps. However, the use of new visualisation tools is still limited not only because of the specificity of digital maps but also because of lacking a universal theoretical cognitive framework for both static traditional and digital maps. Main methodological problems related to the quality of cartographic representation also remain unsolved and actually grow bigger as new forms and technologies of visualisation are applied and complexity of represented information grows and range of tasks is extended. Therefore besides the comprehensive usability evaluation throughout the life cycle of a map new models of map design (cartographic representation) that would enable cartographers to take advantage of future technologies and meet users' needs must be elaborated. The purpose of our research is to develop several organisational models, each of them oriented to solution of one of the three above described general problems of cartographic representation in order to improve map quality. This paper provides an overview of the basic challenges for cartographic representation of complex, uncertain, especially qualitative geographic information and main problems recognised during large thematic cartography projects in Vilnius university as well as that discussed during the conference. It is expected to be the start for a more comprehensive study on improving the quality of cartographic representation of complex thematic maps. © 2002 Taylor &amp; Francis Group, LLC.</t>
  </si>
  <si>
    <t>65-69</t>
  </si>
  <si>
    <t>Land Use Law Zoning Dig.</t>
  </si>
  <si>
    <t>Automated collection and visualisation; Cartography; Life cycle of map</t>
  </si>
  <si>
    <t>E2JT5ZTU</t>
  </si>
  <si>
    <t>Dahl, Y.</t>
  </si>
  <si>
    <t>"You have a message here": Enhancing interpersonal communication in a hospital ward with location-based virtual notes</t>
  </si>
  <si>
    <t>Methods of Information in Medicine</t>
  </si>
  <si>
    <t>00261270 (ISSN)</t>
  </si>
  <si>
    <t>10.1055/s-0038-1634124</t>
  </si>
  <si>
    <t>https://www.scopus.com/inward/record.uri?eid=2-s2.0-33845930954&amp;doi=10.1055%2fs-0038-1634124&amp;partnerID=40&amp;md5=9b492bf12c0b939ed1f58d2b4aceeb7d</t>
  </si>
  <si>
    <t>Objectives: This paper aims to explore how computerized interpersonal information can be mediated through the physical environment of hospital wards. Specifically, if focuses on a communication service (location-based virtual notes) that allows hospital workers to leave short digital messages at relevant physical locations (e.g. by a patient bed), so that intended colleagues can pick them up later when entering such a location. In a work setting where personnel move between various locations mainly as a result of work priority, improving timeliness of information and reducing the number of work interruptions is essential. Our objective is to provide a set of user-motivated design guidelines that address important usability aspects of the proposed communication service. Methods: To get end user feedback, a prototype was built and tested in simulated scenarios with real hospital workers. The material gathered from the usability testing and following interviews was reviewed to identify critical usability issues. Results: We identified a number of relevant usability issues concerning the applied design metaphor, posting of digital messages, role-based contact, and user control. These issues formed the basis for a set of preliminary design principles. Conclusions: We view the preliminary usability guidelines as an incentive for more extensive research. Based on feedback from the test participants, we conclude that the location-based virtual notes have promising potential to improve timeliness of ad hoc information exchange between hospital workers. © 2006 Schattauer GmbH.</t>
  </si>
  <si>
    <t>602-609</t>
  </si>
  <si>
    <t>Methods Inf. Med.</t>
  </si>
  <si>
    <t>Publisher: Schattauer GmbH</t>
  </si>
  <si>
    <t>virtual reality; automation; controlled study; human; normal human; article; simulation; medical information system; interpersonal communication; medical informatics; priority journal; Mobile computing; Clinical communication; Context-awareness; health service; hospital personnel; interview; medical practice; Point-of-care systems; practice guideline; ward</t>
  </si>
  <si>
    <t>85UG9YNC</t>
  </si>
  <si>
    <t>Henriksen, K.; Sporring, J.; Hornbæk, K.</t>
  </si>
  <si>
    <t>Virtual Trackballs Revisited</t>
  </si>
  <si>
    <t>10.1109/TVCG.2004.1260772</t>
  </si>
  <si>
    <t>https://www.scopus.com/inward/record.uri?eid=2-s2.0-1342345786&amp;doi=10.1109%2fTVCG.2004.1260772&amp;partnerID=40&amp;md5=5ca4581ad39ef03d8b3828326960e2ee</t>
  </si>
  <si>
    <t>Rotation of three-dimensional objects by a two-dimensional mouse is a typical task in computer-aided design, operation simulations, and desktop virtual reality. The most commonly used rotation technique is a virtual trackball surrounding the object and operated by the mouse pointer. This article reviews and provides a mathematical foundation for virtual trackballs. The first, but still popular, virtual trackball was described by Chen et al. We show that the virtual trackball by Chen et al. does not rotate the object along the intended great circular arc on the virtual trackball and we give a correction. Another popular virtual trackball is Shoemake's quaternion implementation, which we show to be a special case of the virtual trackball by Chen et al. Shoemake extends the scope of the virtual trackball to the full screen. Unfortunately, Shoemake's virtual trackball is inhomogeneous and discontinuous with consequences for usability. Finally, we review Bell's virtual trackball and discuss studies of the usability of virtual trackballs.</t>
  </si>
  <si>
    <t>206-216</t>
  </si>
  <si>
    <t>article; reproducibility; Reproducibility of Results; Computer simulation; algorithm; Algorithms; comparative study; computer interface; User-Computer Interface; automated pattern recognition; Pattern Recognition, Automated; Mice (computer peripherals); computer graphics; Computer Graphics; Imaging, Three-Dimensional; evaluation; Computer aided design; validation study; Computer vision; Computer graphics; Rotation; computer simulation; Computer Simulation; methodology; sensitivity and specificity; Sensitivity and Specificity; computer assisted diagnosis; image enhancement; Image Enhancement; Image Interpretation, Computer-Assisted; three dimensional imaging; Mathematical models; 2D mouse; 3D rotation; Arcball; computer; Computer keyboards; Computer Peripherals; Degrees of freedom (mechanics); Functions; information retrieval; Information Storage and Retrieval; mathematical computing; Mathematical foundation; Numerical Analysis, Computer-Assisted; Polynomials; rotation; signal processing; Signal Processing, Computer-Assisted; Usability review; Virtual trackball</t>
  </si>
  <si>
    <t>TKJHKKSL</t>
  </si>
  <si>
    <t>Mendez, G.; De Antonio, A.</t>
  </si>
  <si>
    <t>Training agents: An architecture for reusability</t>
  </si>
  <si>
    <t>16113349 (ISSN); 3540287388 (ISBN); 978-354028738-4 (ISBN)</t>
  </si>
  <si>
    <t>10.1007/11550617_1</t>
  </si>
  <si>
    <t>https://www.scopus.com/inward/record.uri?eid=2-s2.0-33646060732&amp;doi=10.1007%2f11550617_1&amp;partnerID=40&amp;md5=7edb2f2698e6db4633445dd6eeacd618</t>
  </si>
  <si>
    <t>During the last years, Intelligent Virtual Environments for Training have become a quite popular application of computer science to education. These systems involve very different technologies, ranging from computer graphics to artificial intelligence. However, little attention has been paid to software engineering issues, and most of these systems are developed in an ad-hoc way that does not allow the reuse of their components or even an easy modification of the application. We describe an agent-based software architecture that is intended to be easily extended and modified. Also, some experiments to test the suitability of the architecture are shown. © Springer-Verlag Berlin Heidelberg 2005.</t>
  </si>
  <si>
    <t>3661 LNAI</t>
  </si>
  <si>
    <t>Usability engineering; Virtual reality; Artificial intelligence; Computer graphics; Software engineering; Computer science; Agent-based software architecture; Intelligent Virtual Environments; Suitability</t>
  </si>
  <si>
    <t>GZBSDYCQ</t>
  </si>
  <si>
    <t>Elzer, P.F.</t>
  </si>
  <si>
    <t>Recent developments in the field of human-machine-interfaces</t>
  </si>
  <si>
    <t>At-Automatisierungstechnik</t>
  </si>
  <si>
    <t>01782312 (ISSN)</t>
  </si>
  <si>
    <t>10.1524/auto.2001.49.1.015</t>
  </si>
  <si>
    <t>https://www.scopus.com/inward/record.uri?eid=2-s2.0-0343582645&amp;doi=10.1524%2fauto.2001.49.1.015&amp;partnerID=40&amp;md5=0b20786d712f12080980755f20c1a16b</t>
  </si>
  <si>
    <t>In the first part of this paper some concepts in the field of Human-Machine Interfaces are presented that are currently discussed on an international basis. They comprise the ecological approach to human perception, situation awareness and assessment or the “expressiveness” of Interfaces. In the framework of a more global discussion of “Human-Machine-Systems” are of significance a new view on “human error”, considerations about “safety culture” and the role of system design and management. Special emphasis is put on the significance of experiments for the design of Human-Machine-interfaces. The usability of the widely mentioned “New Technologies” like “Multi-Media”, “Virtual Reality” and “Computer Augmented Reality” is discussed for various partial tasks in automation, like e.g. operation, repair, maintenance, search for system documentation, instruction and training. In order to illustrate the concepts discussed some test implementations at the Institut fur Prozess- und Produktionsleittechnik (IPP) of the TU Clausthal are presented. They comprise knowledge bases systems, neural networks, self-learning systems, mass-data and 3D-displays, control of robots over the internet as well as the support of maintenance and training by means of CAR and VR techniques. © Oldenbourg Verlag.</t>
  </si>
  <si>
    <t>15-29</t>
  </si>
  <si>
    <t>Neuere entwicklungen auf dem gebiet der mensch-maschine-schnittstellen</t>
  </si>
  <si>
    <t>German</t>
  </si>
  <si>
    <t>HYYZ9EGS</t>
  </si>
  <si>
    <t>Su, C.-J.; Lin, F.; Ye, L.</t>
  </si>
  <si>
    <t>New collision detection method for CSG-represented objects in virtual manufacturing</t>
  </si>
  <si>
    <t>10.1016/S0166-3615(99)00010-X</t>
  </si>
  <si>
    <t>https://www.scopus.com/inward/record.uri?eid=2-s2.0-0032678231&amp;doi=10.1016%2fS0166-3615%2899%2900010-X&amp;partnerID=40&amp;md5=336eb49f177c5eb3b8bcd8b9b849026f</t>
  </si>
  <si>
    <t>In virtual manufacturing environment, operator-system interactions and physical simulation require real time collision detection. A fast and precise algorithm for collision detection is therefore critical to ensure the usability of virtual reality (VR)-based manufacturing simulation. This paper proposes an efficient and precise collision detection algorithm for constructive solid geometry (CSG) represented objects in a virtual environment. It mainly takes advantages of the CSG `divide-and-conquer' paradigm and efficient distance-aided collision detection for convex bounding volumes. An adaptive selection strategy for optimal bounding volumes of sub-trees of objects is used to realize a fast localization of possible collision regions at each detection step, and decision rules for sub-tree freezing and result evaluating are created. Performances of the applications used in a virtual training system for CNC milling machine manual operations and virtual assembly operations have demonstrated the effectiveness of the proposed methodology.</t>
  </si>
  <si>
    <t>Publisher: Elsevier Science Publishers B.V.</t>
  </si>
  <si>
    <t>Virtual reality; Computer simulation; Adaptive algorithms; Human computer interaction; Real time systems; Systems analysis; Collision detection algorithms; Computer integrated manufacturing; Constructive solid geometry (CSG); Decision theory; Distance-aided collision detection; Factory automation; Precision engineering; Trees (mathematics); Virtual manufacturing</t>
  </si>
  <si>
    <t>2WZSAW3Z</t>
  </si>
  <si>
    <t>Testi, D.; Lattanzi, R.; Benvegnù, M.; Petrone, M.; Zannoni, C.; Viceconti, M.; Toni, A.</t>
  </si>
  <si>
    <t>Efficacy of stereoscopic visualization and six degreesof freedom interaction in preoperative planningof total hip replacement</t>
  </si>
  <si>
    <t>Medical Informatics and the Internet in Medicine</t>
  </si>
  <si>
    <t>14645246 (ISSN)</t>
  </si>
  <si>
    <t>10.1080/14639230600886900</t>
  </si>
  <si>
    <t>https://www.scopus.com/inward/record.uri?eid=2-s2.0-33748350724&amp;doi=10.1080%2f14639230600886900&amp;partnerID=40&amp;md5=e61ddbb8cfe9735dc669068b65f2a394</t>
  </si>
  <si>
    <t>The aim of this study was to assess the accuracy of a six-degrees-of-freedom application for pre-operative planning of total hip replacement in a virtual reality (VR) environment. A test was performed estimating the system inherent accuracy. The users can move objects in the VR environment with an intrinsic accuracy almost four orders of magnitude greater than the object dimension. A second unambiguous and relevant task was defined to assess the accuracy achievable with the interface in a specific planning task. The results were compared with those obtained with 2D interfaces for both the stem and the cup component. The RMSE was assumed as an indicator of the achievable accuracy. The accuracy of the immersive interface was comparable with that achievable with a standard mouse - monitor nterface. The users were consistent using the VR interface, confirming the high usability of the new interface and the steep learning curve of users unfamiliar with the new environment. This study has demonstrated that the application of VR environment for pre-operative planning of total hip replacement may help to shorten the duration of the positioning and to yield consistent results even with first-time users.</t>
  </si>
  <si>
    <t>205-218</t>
  </si>
  <si>
    <t>Med. Informatics Internet Med.</t>
  </si>
  <si>
    <t>virtual reality; Humans; automation; analysis of variance; article; Pre-operative planning; preoperative evaluation; algorithm; computer interface; User-Computer Interface; accuracy; computer graphics; image processing; treatment planning; Computer Simulation; computer program; Evaluation Studies; Arthroplasty, Replacement, Hip; computer mouse; Computer Terminals; Evaluation Studies as Topic; Italy; Planning Techniques; stereoradiography; total hip prosthesis; Total hip replacement; Virtual reality environments</t>
  </si>
  <si>
    <t>LP5Y6CJ2</t>
  </si>
  <si>
    <t>Cai, Q.; Liberatore, V.; Çavuşoǧlu, M.C.; Yoo, Y.</t>
  </si>
  <si>
    <t>Evaluation methods of a middleware for networked surgical simulations</t>
  </si>
  <si>
    <t>09269630 (ISSN); 1586035835 (ISBN); 978-158603583-9 (ISBN)</t>
  </si>
  <si>
    <t>https://www.scopus.com/inward/record.uri?eid=2-s2.0-33645747803&amp;partnerID=40&amp;md5=1a5087bab794d59a1a252066c7187a8c</t>
  </si>
  <si>
    <t>Distributed surgical virtual environments are desirable since they substantially extend the accessibility of computational resources by network communication. However, network conditions critically affects the quality of a networked surgical simulation in terms of bandwidth limit, delays, and packet losses, etc. A solution to this problem is to introduce a middleware between the simulation application and the network so that it can take actions to enhance the user-perceived simulation performance. To comprehensively assess the effectiveness of such a middleware, we propose several evaluation methods in this paper, i.e., semi-automatic evaluation, middleware overhead measurement, and usability test. © 2006 The authors. All rights reserved.</t>
  </si>
  <si>
    <t>76-78</t>
  </si>
  <si>
    <t>Virtual reality; article; Surgery; computer interface; User-Computer Interface; Software; Usability tests; evaluation; Virtual environment; medical education; surgery; Usability test; computer simulation; Computer Simulation; computer program; Computational resources; Distributed computer systems; Education, Medical; Evaluation methods; Evaluation Studies; Middleware; Network; Network communications; Network condition; Networks (circuits); Simulation applications; Simulation performance; Surgical Procedures, Operative; Surgical simulation; United States</t>
  </si>
  <si>
    <t>SQYWMLC9</t>
  </si>
  <si>
    <t>Nicolau, S.; Pennec, X.; Soler, L.; Ayache, N.</t>
  </si>
  <si>
    <t>An accuracy certified augmented reality system for therapy guidance</t>
  </si>
  <si>
    <t>03029743 (ISSN)</t>
  </si>
  <si>
    <t>10.1007/978-3-540-24672-5_7</t>
  </si>
  <si>
    <t>https://www.scopus.com/inward/record.uri?eid=2-s2.0-33744799683&amp;doi=10.1007%2f978-3-540-24672-5_7&amp;partnerID=40&amp;md5=1b631b95eecd9e51b0657827b4486311</t>
  </si>
  <si>
    <t>Our purpose is to provide an augmented reality system for Radio-Frequency guidance that could superimpose a 3D model of the liver, its vessels and tumors (reconstructed from CT images) on external video images of the patient. In this paper, we point out that clinical usability not only need the best affordable registration accuracy, but also a certification that the required accuracy is met, since clinical conditions change from one intervention to the other. Beginning by addressing accuracy performances, we show that a 3D/2D registration based on radio-opaque fiducials is more adapted to our application constraints than other methods. Then, we outline a lack in their statistical assumptions which leads us to the derivation of a new extended 3D/2D criterion. Careful validation experiments on real data show that an accuracy of 2 mm can be achieved in clinically relevant conditions, and that our new criterion is up to 9% more accurate, while keeping a computation time compatible with real-time at 20 to 40 Hz. After the fulfillment of our statistical hypotheses, we turn to safety issues. Propagating the data noise through both our criterion and the classical one, we obtain an explicit formulation of the registration error. As the real conditions do not always fit the theory, it is critical to validate our prediction with real data. Thus, we perform a rigorous incremental validation of each assumption using successively: synthetic data, real video images of a precisely known object, and finally real CT and video images of a soft phantom. Results point out that our error prediction is fully valid in our application range. Eventually, we provide an accurate Augmented Reality guidance system that allows the automatic detection of potentially inaccurate guidance. © Springer-Verlag 2004.</t>
  </si>
  <si>
    <t>79-91</t>
  </si>
  <si>
    <t>Augmented reality; Three dimensional computer graphics; Augmented reality systems; Computerized tomography; Automatic Detection; Computation theory; Computer vision; 3-D/2-D registration; Balloons; Clinical conditions; Explicit formulation; Incremental validation; Registration accuracy; Statistical hypothesis</t>
  </si>
  <si>
    <t>Q43AP89Z</t>
  </si>
  <si>
    <t>García, Matías; Requesens, Jose; Cano, Sandra</t>
  </si>
  <si>
    <t>User Experience Evaluation Methods in Mixed Reality Environments</t>
  </si>
  <si>
    <t>Social Computing and Social Media: 16th International Conference, SCSM 2024, Held as Part of the 26th HCI International Conference, HCII 2024, Washington, DC, USA, June 29–July 4, 2024, Proceedings, Part I</t>
  </si>
  <si>
    <t>978-3-031-61280-0</t>
  </si>
  <si>
    <t>10.1007/978-3-031-61281-7_12</t>
  </si>
  <si>
    <t>https://doi.org/10.1007/978-3-031-61281-7_12</t>
  </si>
  <si>
    <t>Interest in the metaverse and telepresence has sparked technological advancements, enabling us to extend our perceived reality with off-the-shelf devices. Particularly, we shall be focusing on mixed reality (MR) which consists in merging the real and the virtual world through environment synchronization (ES). In this interaction paradigm, a challenge arises for capturing and understanding what users think and how they physically/emotionally react when immersed in MR. Our theoretical approach stems from user experience (UX) research, by evaluating aspects such as usability, utility, and satisfaction of use. However, we hypothesize that MR also involves specific factors unique to this interface. Therefore, in this literature review we shall be looking at three questions: (1) what methods have been used to evaluate UX in MR? (2) what aspects have been assessed in UX evaluation? And (3) what devices have been used in these evaluations? We consulted 3 scientific databases and our search yielded 737 results from the last 10&amp;nbsp;years. Results show a growing trend on research interest from 2019 onwards. Secondly, we found that studies most frequently rely on what the users respond in post-experiment questionnaires and interviews, neglecting other mid-experiment methods such as Think Aloud, or physiological signals sensing. Furthermore, usability, enjoyment and simulator sickness remain the most recurrent factors assessed, but only two studies included the quality assessment of ES, and security/privacy aspects. Other specific UX aspects in MR include perceived immersion, navigation, and device ergonomics. We note a lack of a well-documented UX model particularized to incorporate all these specific aspects for comprehensive evaluation. To the best of our knowledge expert judgment remains the standard on which aspects assess in MR environments. The contribution of this paper is a snapshot of how UX evaluation has been conducted in recent literature. We provide a list of methods and instruments for designers and developers to incorporate users’ insights for improvement. For future work we intend to expand this research to a systematic literature review to overcome the limitations of this work and supply evidence for proposing a UX model for MR environments.</t>
  </si>
  <si>
    <t>179–193</t>
  </si>
  <si>
    <t>Springer-Verlag</t>
  </si>
  <si>
    <t>event-place: Washington DC, USA</t>
  </si>
  <si>
    <t>Mixed Reality; User Experience; User Experience Evaluation</t>
  </si>
  <si>
    <t>X7BFXUEJ</t>
  </si>
  <si>
    <t>Morales, Jenny; Cornide-Reyes, Héctor; Rossel, Pedro O.; Sáez, Paula; Silva-Aravena, Fabián</t>
  </si>
  <si>
    <t>Virtual Reality, Augmented Reality and Metaverse: Customer Experience Approach and User Experience Evaluation Methods. Literature Review</t>
  </si>
  <si>
    <t>Social Computing and Social Media: 15th International Conference, SCSM 2023, Held as Part of the 25th HCI International Conference, HCII 2023, Copenhagen, Denmark, July 23–28, 2023, Proceedings, Part I</t>
  </si>
  <si>
    <t>978-3-031-35914-9</t>
  </si>
  <si>
    <t>10.1007/978-3-031-35915-6_40</t>
  </si>
  <si>
    <t>https://doi.org/10.1007/978-3-031-35915-6_40</t>
  </si>
  <si>
    <t>Currently, the technologies associated with the web and telecommunications have an essential role in different areas, such as education, medicine, tourism, commerce, among others. The coronavirus pandemic (COVID-19) accelerated the process of adopting these technologies. The announcement of the metaverse and its large number of opportunities, immersive experiences, scenarios, contexts, and possibilities have generated much expectation. This has increased interest in technologies such as Virtual Reality (VR), Augmented Reality (AR), and the mixture of both, which are not new technologies, but now taking advantage of the opportunities for better performance offered by communication networks such as 5G. Thus, user and/or customer experiences can be changed. This paper presents a literature review related to two concepts which are the user experience (UX) and customer experience (CX) in VR, AR, and metaverse, and their evaluation methods. We follow a review protocol and consult five representative databases. We found studies related to the user experience in virtual reality and augmented reality but not related to the metaverse. Regarding the evaluation methods of the user experience found, it is possible to identify heuristic evaluations and user tests that include data collection through questionnaires and the use of brain and body signals. In future work, we pretend to extend this literature review in a systematic review and intend to create guides to evaluate virtual environments applied to VR, AR, or metaverse.</t>
  </si>
  <si>
    <t>554–566</t>
  </si>
  <si>
    <t>event-place: Copenhagen, Denmark</t>
  </si>
  <si>
    <t>augmented reality; customer experience; evaluation methods; Metaverse; User experience; virtual reality</t>
  </si>
  <si>
    <t>N5E6BDY6</t>
  </si>
  <si>
    <t>Campos, Thiago Prado de; Hounsell, Marcelo da Silva; Damasceno, Eduardo Filgueiras; Valentim, Natasha M. C.</t>
  </si>
  <si>
    <t>Evaluating Usability, User Experience, and Playability of a Puzzle Game in Mixed Reality</t>
  </si>
  <si>
    <t>Proceedings of the 26th Symposium on Virtual and Augmented Reality</t>
  </si>
  <si>
    <t>979-8-4007-0979-1</t>
  </si>
  <si>
    <t>10.1145/3691573.3691584</t>
  </si>
  <si>
    <t>https://doi.org/10.1145/3691573.3691584</t>
  </si>
  <si>
    <t>This study investigates the usability, user experience (UX), and playability of a mixed reality (MR) game called Cubism, which allows participants to interact with holograms using hand gestures. We conducted an experiment with seven participants to evaluate their interaction with the game. The Usability and User Experience Evaluation in Touchable Hologram (UUXE-ToH) questionnaire was the primary data collection instrument to capture participants’ perceptions of usability, satisfaction, and overall experience. Our findings indicate that the mixed reality environment of Cubism offers an engaging and intuitive user experience, though several challenges were identified. These insights contribute to the growing body of knowledge on human-computer interaction in mixed-reality contexts and suggest avenues for improving the design of future mixed-reality games. This research is valuable to the VR/AR/MR community by highlighting the critical factors influencing user interaction and satisfaction in MR games.</t>
  </si>
  <si>
    <t>61–70</t>
  </si>
  <si>
    <t>SVR '24</t>
  </si>
  <si>
    <t>New York, NY, USA</t>
  </si>
  <si>
    <t>event-place: Manaus, Brazil</t>
  </si>
  <si>
    <t>usability; user experience; mixed reality; playability; puzzle game</t>
  </si>
  <si>
    <t>WL2RYWWK</t>
  </si>
  <si>
    <t>Casteleiro-Pitrez, Joana</t>
  </si>
  <si>
    <t>Augmented Reality Books: A User Experience Evaluation</t>
  </si>
  <si>
    <t>Design, User Experience, and Usability: UX Research, Design, and Assessment: 11th International Conference, DUXU 2022, Held as Part of the 24th HCI International Conference, HCII 2022, Virtual Event, June 26 – July 1, 2022, Proceedings, Part I</t>
  </si>
  <si>
    <t>978-3-031-05896-7</t>
  </si>
  <si>
    <t>10.1007/978-3-031-05897-4_25</t>
  </si>
  <si>
    <t>https://doi.org/10.1007/978-3-031-05897-4_25</t>
  </si>
  <si>
    <t>The rise of information society and the profound mediatization phenomenon led to a book use decrease. On the other hand, the attempt to promote book use and widen the capacities of the traditional book led to the application of computational resources, one of these resources is Augmented Reality (AR).This study is about AR published Books and their User Experience (UX). We want to know if publishing AR books shows sufficient UX. We chose three AR books published in Portugal and applied a quantitative empirical study to evaluate their UX and answer this research question. Sixty users read the AR books and then answered the User Experience Questionnaire (UEQ) used as the research instrument of this study. We also compare the results with a benchmark. The results show a positive evaluation in almost all the means of the scales of the three AR books. Only in one book do we find a neutral evaluation in the scales of Stimulation and Novelty. Regarding the benchmark, the scales Attractiveness, Novelty and Stimulation achieved Excellent/Good category levels. On the other hand, the pragmatic quality aspects like Perspicuity, Dependably, and Efficiency revels a below “Good category” level, emphasizing the urgent need to improve the UX of AR books.</t>
  </si>
  <si>
    <t>353–368</t>
  </si>
  <si>
    <t>Augmented Reality Books</t>
  </si>
  <si>
    <t>Series Title: Lecture Notes in Computer Science DOI: 10.1007/978-3-031-05897-4_25</t>
  </si>
  <si>
    <t>Augmented reality books; User experience; User experience questionnaire</t>
  </si>
  <si>
    <t>KBH978E8</t>
  </si>
  <si>
    <t>Vosinakis, Spyros; Anastassakis, George; Koutsabasis, Panayiotis; Damianidis, Kostas</t>
  </si>
  <si>
    <t>User Experience Design and Evaluation of a Virtual Reality Museum Installation for Historic Sailing Ships</t>
  </si>
  <si>
    <t>Virtual Reality and Mixed Reality: 21st EuroXR International Conference, EuroXR 2024, Athens, Greece, November 27–29, 2024, Proceedings</t>
  </si>
  <si>
    <t>978-3-031-78592-4</t>
  </si>
  <si>
    <t>10.1007/978-3-031-78593-1_2</t>
  </si>
  <si>
    <t>https://doi.org/10.1007/978-3-031-78593-1_2</t>
  </si>
  <si>
    <t>Museums and exhibitions can benefit from immersive technologies by embodying visitors in rich interactive environments, where they can experience digitally reconstructed scenes and stories of the past. Nevertheless, the short-term Virtual Reality interaction offered in public spaces needs to be carefully designed in order to communicate the intended message and optimize the delivered experience, especially for first-time users. This paper contributes to the ongoing research on user experience in VR for cultural heritage through the presentation of the design and user evaluation of an installation that immerses users on board of a historic sailing ship and has been part of a museum exhibition. We present the process of reconstructing the ship and developing the application with emphasis on design choices about the user experience (scene presentation, content delivery, navigation and interaction modes, assistance, etc.). We have performed a thorough user experience evaluation and present its results and our reflections on design issues regarding public VR installations for museums.</t>
  </si>
  <si>
    <t>15–35</t>
  </si>
  <si>
    <t>event-place: Athens, Greece</t>
  </si>
  <si>
    <t>cultural heritage; historic sailing ships; museums; qualitative study; think-aloud; user experience; virtual reality</t>
  </si>
  <si>
    <t>4JT3QERN</t>
  </si>
  <si>
    <t>Lee, Chien-Sing; Sue-Lyn; Yeap, Letisha</t>
  </si>
  <si>
    <t>Testing Anchors, User Experience and Usability Among 4 Game Elements in a Kindy Immersive Augmented Reality Game</t>
  </si>
  <si>
    <t>Computational Science and Its Applications – ICCSA 2024 Workshops: Hanoi, Vietnam, July 1–4, 2024, Proceedings, Part XI</t>
  </si>
  <si>
    <t>978-3-031-65342-1</t>
  </si>
  <si>
    <t>10.1007/978-3-031-65343-8_10</t>
  </si>
  <si>
    <t>https://doi.org/10.1007/978-3-031-65343-8_10</t>
  </si>
  <si>
    <t>The metaverse, which in essence interconnects ecosystems and channels (e.g. Augmented Reality (AR), Virtual Reality, and Internet of Things), is challenging, not only in terms of system design, but also, self-efficacy and technology acceptance. One of the challenges is being lost in immersiveness, if the navigation is absent or not well-structured, especially if the story is long. Hence, this paper has investigated students’ readiness in the absence of the explicit navigation toolbar, in lieu of the implicit navigational tool, i.e., the story. An immersive educational gamified AR game with two missions has been developed to test the hypothesis. Target users are children 4 to 6&amp;nbsp;years old. The significance lies in: a) identifying user perceptions towards the AR-gamified story-navigated prototype based on User Experience qualities and Usability Heuristics; b) mapping of User Experience qualities and Usability Heuristics for the preliminary study of cognitive load in immersive learning environments; c) assessing the effectiveness of the story as anchor to shaping mental models, and AR in balancing 3 types of cognition; and d) implications to the design of computational thinking-human-computer interaction scaffolds for immersive AR learning environments. Possibly, with feedback-driven weighted criteria, systems can dynamically assemble ontological changes in scenarios and objects, balance or distribute embodied/embedded cognitive load, personalize paths and mediate flow.</t>
  </si>
  <si>
    <t>154–167</t>
  </si>
  <si>
    <t>event-place: Hanoi, Vietnam</t>
  </si>
  <si>
    <t>anchor; Augmented Reality; cognition; game elements; immersive environment; lost; usability; UX; Virtual Reality</t>
  </si>
  <si>
    <t>9T8MTDAL</t>
  </si>
  <si>
    <t>Zhang, Yawen; Zhou, Han; Jiang, Zhoumingju; Tang, Zilu; Luo, Tao; Lei, Qinyuan</t>
  </si>
  <si>
    <t>Exploring Viewing Modalities in Cinematic Virtual Reality: A Systematic Review and Meta-Analysis of Challenges in Evaluating User Experience</t>
  </si>
  <si>
    <t>Proc. ACM Hum.-Comput. Interact.</t>
  </si>
  <si>
    <t>10.1145/3710980</t>
  </si>
  <si>
    <t>https://doi.org/10.1145/3710980</t>
  </si>
  <si>
    <t>Cinematic Virtual Reality (CVR) is a narrative-driven VR experience that uses head-mounted displays with a 360-degree field of view. Previous research has explored different viewing modalities to enhance viewers' CVR experiences. This study conducted a systematic review and meta-analysis to examine how different viewing modalities, including intervened rotation, avatar assistance, guidance cues, and perspective shifting, influence CVR experiences. The study has screened 3444 papers (published between January 1, 2013, and June 17, 2023). Of the 3444 papers, 45 were selected for systematic review, 13 of the 45 papers were selected for meta-analysis. We separately conducted random-effects meta-analysis and applied Robust Variance Estimation to examine CVR viewing modalities and user experience outcomes. Evidence from experiments was synthesized as differences between standardized mean differences (SMDs) of user experience of control group (”Swivel-Chair” CVR) and experiment groups. To our surprise, we found inconsistencies in the effect sizes across different studies, even with the same viewing modalities. Moreover, we found that in these studies, terms such as ”presence,” ”immersion,” and ”narrative engagement” were often used interchangeably. We concluded that the quality of previous studies on CVR experiences was compromised by several methodological issues, including irregular use of questionnaires, overreliance on self-developed questionnaires, and incomplete data reporting. This study contributes to Human-Computer Interaction (HCI) research by identifying gaps in CVR research and emphasizing the need for standardization of terminologies and methodologies to enhance the reliability and comparability of future CVR research.</t>
  </si>
  <si>
    <t>2025-05</t>
  </si>
  <si>
    <t>Place: New York, NY, USA Publisher: Association for Computing Machinery</t>
  </si>
  <si>
    <t>user experience; systematic review; cinematic virtual reality; viewing modality</t>
  </si>
  <si>
    <t>5I8ZH8TS</t>
  </si>
  <si>
    <t>Hening Darmasti, Aulia; Pinkwart, Niels; Zender, Raphael</t>
  </si>
  <si>
    <t>User Experience Evaluation in Virtual Reality for Autism: A Systematic Literature Review</t>
  </si>
  <si>
    <t>Universal Access in Human-Computer Interaction: 17th International Conference, UAHCI 2023, Held as Part of the 25th HCI International Conference, HCII 2023, Copenhagen, Denmark, July 23–28, 2023, Proceedings, Part I</t>
  </si>
  <si>
    <t>978-3-031-35680-3</t>
  </si>
  <si>
    <t>10.1007/978-3-031-35681-0_36</t>
  </si>
  <si>
    <t>https://doi.org/10.1007/978-3-031-35681-0_36</t>
  </si>
  <si>
    <t>Virtual reality (VR) used for people with autism spectrum disorder (ASD) is gaining a place among researchers lately. The rich interactivity provided by VR makes it a powerful tool for various purposes, one of which is to support interventions for people with ASD. Since people with ASD have a different sensory experience, the user experience (UX) within VR applications for ASD becomes a crucial aspect. There have been past literature reviews of VR applications for ASD. However, to the best of our knowledge, there is hardly one that focuses on the methods used in evaluating the users’ experience towards interaction techniques or interface elements incorporated in various VR applications. In this review, 24 studies met predetermined PICo (Population, Interest, Context) criteria from the search based on three relevant databases, namely Pubmed NCBI, Dimensions.ai, and IEEE Xplore. Direct examination from observers appears as the most popular method used to assess experiences of people with ASD in using VR and followed by self-report questionnaire method. In addition, although all relevant literatures mentioned their UX evaluation method, only a few studies whose evaluation is relevantly subjected towards their interaction techniques or user interface elements. This review is expected to provide insights and considerations in designing UX evaluation method for VR applications for people with ASD in the future.</t>
  </si>
  <si>
    <t>546–568</t>
  </si>
  <si>
    <t>Autistic spectrum disorder; Interaction technique; User experience; User interface elements; Virtual reality</t>
  </si>
  <si>
    <t>A9VP5AHR</t>
  </si>
  <si>
    <t>Macias-Velasquez, Sharon; Medellin-Castillo, Hugo I.; Garcia-Barrientos, Abel</t>
  </si>
  <si>
    <t>New-user experience evaluation in a semi-immersive and haptic-enabled virtual reality system for assembly operations</t>
  </si>
  <si>
    <t>Int. J. Hum.-Comput. Stud.</t>
  </si>
  <si>
    <t>1071-5819</t>
  </si>
  <si>
    <t>10.1016/j.ijhcs.2024.103312</t>
  </si>
  <si>
    <t>https://doi.org/10.1016/j.ijhcs.2024.103312</t>
  </si>
  <si>
    <t>2024-10</t>
  </si>
  <si>
    <t>C</t>
  </si>
  <si>
    <t>Place: USA Publisher: Academic Press, Inc.</t>
  </si>
  <si>
    <t>Virtual reality (VR); Haptic device; Physiological factors; Task duration; User experience (UX)</t>
  </si>
  <si>
    <t>VWP3V33J</t>
  </si>
  <si>
    <t>Yi, Ji Hyun; Kim, Hae Sun</t>
  </si>
  <si>
    <t>User Experience Research, Experience Design, and Evaluation Methods for Museum Mixed Reality Experience</t>
  </si>
  <si>
    <t>J. Comput. Cult. Herit.</t>
  </si>
  <si>
    <t>1556-4673</t>
  </si>
  <si>
    <t>10.1145/3462645</t>
  </si>
  <si>
    <t>https://doi.org/10.1145/3462645</t>
  </si>
  <si>
    <t>Wearable Mixed Reality (MR) technology is a tool that gives people a new enhanced experience that they have not encountered before. This study shows the process of designing new museum experiences while considering how this technology changes previous museum experiences, what those experiences are, and what people should feel through these experiences. This process was systematically conducted according to the UX design process of analysis, synthesis, and evaluation. In the analysis step, six types of museum artifact viewing experiences were defined: knowing, restoring, exploring, expanded scale, encountering, and sharing experience through research and user surveys related to the museum experience. In addition, through research analysis related to MR technology, presence, flow, and natural interaction were defined as three essential factors that users should feel in the MR experience. In the synthesis stage, optimized wearable MR experiences were designed and implemented by applying the necessary experience types and essential factors according to the characteristics of each artifact. In the evaluation stage, user experience evaluations such as user experience tests for essential factors in the MR experience, User Experience Questionnaire (UEQ) tests for interaction products, and the Visual Aesthetics of Websites Inventory (VisAWI) test for visual experiences from various perspectives were conducted on the developed results. Through these evaluations, users gave positive scores to the design results based on the experience types and essential factors defined in this study. When applying new media technologies such as wearable MR technology, improved technology implementation is important, but an understanding of the applied field must first be obtained, and user analysis must first be thoroughly conducted. This study will be a guide to the systematic development process to be followed when applying wearable MR technology to other fields.</t>
  </si>
  <si>
    <t>2021-09</t>
  </si>
  <si>
    <t>mixed reality; design strategies for mixed reality; mixed reality design; mixed reality evaluation method; Museum content; museum experience; museum mixed reality experience; user experience design; user experience research</t>
  </si>
  <si>
    <t>5NVYZS9D</t>
  </si>
  <si>
    <t>Alenljung, Zackarias; Lindblom, Jessica</t>
  </si>
  <si>
    <t>User Experience in Augmented Reality: A Holistic Evaluation of a Prototype for Assembly Instructions</t>
  </si>
  <si>
    <t>Design, User Experience, and Usability: Design for Contemporary Technological Environments: 10th International Conference, DUXU 2021, Held as Part of the 23rd HCI International Conference, HCII 2021, Virtual Event, July 24–29, 2021, Proceedings, Part III</t>
  </si>
  <si>
    <t>978-3-030-78226-9</t>
  </si>
  <si>
    <t>10.1007/978-3-030-78227-6_11</t>
  </si>
  <si>
    <t>https://doi.org/10.1007/978-3-030-78227-6_11</t>
  </si>
  <si>
    <t>Industries are under development with new upcoming tools that will further streamline the work of operators, not least in assembly. Assembly instructions are usually visualized by traditional paper or data bases. A new way of showing instruction is provided by augmented reality (AR). The focus of this paper is the user experience (UX) of AR based instructions for assembly. In order to study the UX in AR an evaluation matrix and an AR prototype has been developed and evaluated in a UX test, where data regarding both hedonic and pragmatic qualities was collected. The UX test yielded a result of three out of nine sub-goals completed while six did not. There was a general low degree of cognitive load while assembling but not low enough. However, there are promising results for AR based instructions, though the technology still needs improvement and more testing is also necessary. The assembly scenario for this study was somewhat simple and could be one reason why this study generated ambiguous results.</t>
  </si>
  <si>
    <t>139–157</t>
  </si>
  <si>
    <t>Assembly instructions; Augmented reality; Evaluation; User experience</t>
  </si>
  <si>
    <t>GU77GN8H</t>
  </si>
  <si>
    <t>Tölgyesi, Borbála; Bakk, Ágnes Karolina; Barkóczi, Máté; Buri, Balázs; Szabó, András; Tobai, Botond; Sadie, Bonita; Cserjési, Renáta; Georgieva, Iva; Roth, Christian</t>
  </si>
  <si>
    <t>"Virtual reality nature as our next retreat?": User experience testing of a simulated natural environment in virtual reality</t>
  </si>
  <si>
    <t>Proceedings of Mensch Und Computer 2023</t>
  </si>
  <si>
    <t>979-8-4007-0771-1</t>
  </si>
  <si>
    <t>10.1145/3603555.3608543</t>
  </si>
  <si>
    <t>https://doi.org/10.1145/3603555.3608543</t>
  </si>
  <si>
    <t>In this article, we present the initial user experience test results of an experiment conducted in an interactive natural environment created in virtual reality (VR). The computer-generated (CG) VR application, entitled Zenctuary VR, was designed with the intention of giving the users a pleasant experience with the benefits of easing anxiety symptoms, boosting positive feelings and lowering negative ones, thus having a restorative effect. For this, we designed a graphically high-resolution, natural environment with playful interactions. The testing was conducted with adults diagnosed with attentional deficit and hyperactivity disorder (ADHD) and with a neurotypical control group in order to investigate whether the ADHD group experiences the app differently from the latter group and to enhance its effectiveness specifically for individuals with ADHD. While the assessed scales for presence, immersion, feeling of flow, gained skills, usability, and judgment did not differ between the two groups, overall their evaluations of the experience and the software application were favorable. We also gathered insightful comments on the application's shortcomings, which will enable us to improve it and make it more enjoyable and ultimately more beneficial for the users.</t>
  </si>
  <si>
    <t>448–453</t>
  </si>
  <si>
    <t>MuC '23</t>
  </si>
  <si>
    <t>event-place: Rapperswil, Switzerland</t>
  </si>
  <si>
    <t>user experience; interactive virtual reality; nature environment; restorative effect</t>
  </si>
  <si>
    <t>6N8UKUP5</t>
  </si>
  <si>
    <t>Noriega, Paulo; Sousa, Mariana; Rebelo, Francisco; Vilar, Elisângela</t>
  </si>
  <si>
    <t>User Experience Evaluation of an Immersive Virtual Reality Experience: The Case of the Palmela Dukes’ Mausoleum in Lisbon’s Prazeres Cemetery</t>
  </si>
  <si>
    <t>Design, User Experience, and Usability: 13th International Conference, DUXU 2024, Held as Part of the 26th HCI International Conference, HCII 2024, Washington, DC, USA, June 29 – July 4, 2024, Proceedings, Part IV</t>
  </si>
  <si>
    <t>978-3-031-61358-6</t>
  </si>
  <si>
    <t>10.1007/978-3-031-61359-3_22</t>
  </si>
  <si>
    <t>https://doi.org/10.1007/978-3-031-61359-3_22</t>
  </si>
  <si>
    <t>All over the world, there is a lot of our history that is still inaccessible to everyone. From historical facts, cultural patterns, and music, to paintings, sculptures, and buildings, many of these cultural and architectural heritages have restricted access or are hidden behind private patrimony. In this context, this applied research is focused on developing technology-based resources to engage users with cultural heritage, mainly those related to cemetery heritage. Thus, it investigates the prospective role of VR as a vehicle for unveiling one of the prominent heritage sites within the Prazeres Cemetery, namely the Mausoleum of the Dukes of Palmela. In this way, this paper aims to present part of larger project that has as main goal the development of an Immersive Virtual Reality (IVR) experiences for cemeterial tourism. The project was developed considering three main phases, the exploratory phase, the generative phase, and the evaluative phase, but for this paper purpose, only the last one will be detailed. The main objective is to present the pilot tests made with the prototype developed for the Dukes of Palmela Mausoleum VR experience. The tests were made mainly to evaluate Use experience (UX) while interacting with an IVR experience. The primary findings indicate that the three emotions most experienced by the participants after the interaction were: Interest, Astonishment, and Fear. Additionally, the performance test showed effective memory retention among participants, indicating the potential of VR experiences to evoke meaningful engagement and learning.</t>
  </si>
  <si>
    <t>310–327</t>
  </si>
  <si>
    <t>Cemeterial Tourism; Interaction Design; Patrimony; User Experience; Virtual Reality</t>
  </si>
  <si>
    <t>A2EKZN4M</t>
  </si>
  <si>
    <t>Feng, Chung-Shun; Tsai, Chia-Wen; Hu, Tsu-Wu; Hsiao, Ming-Yu; Lee, Yann-Long; Huang, Yu-Che</t>
  </si>
  <si>
    <t>Research on User Experience and Cognitive Psychology Evaluation of Augmented Reality facial effects in Meta Spark, Line, and Snapchat Apps</t>
  </si>
  <si>
    <t>Proceedings of the 2023 11th International Conference on Computer and Communications Management</t>
  </si>
  <si>
    <t>979-8-4007-0773-5</t>
  </si>
  <si>
    <t>10.1145/3617733.3617747</t>
  </si>
  <si>
    <t>https://doi.org/10.1145/3617733.3617747</t>
  </si>
  <si>
    <t>In recent years, the development of internet technology and digital innovation has made mobile application services and platform systems an indispensable part of daily life. The demand for augmented reality has been increasing as a result. In 2020, it became a significant turning point, and according to international survey agencies and professional reports and data, since people's daily lives are inseparable from mobile phones, whether you are at work, in class, or leisure time, you will use your phone anytime and anywhere. Everyone's smartphone has different types of augmented reality apps, mainly in communication and socializing, map navigation, and gaming categories. When people use smartphones, they have already moved away from traditional phone call functions and focus on social interaction and communication behaviors. In Taiwan, everyone's smartphone will have a "social communication augmented reality app," among which "Meta Spark, Line, and Snapchat Apps" are the three most used.The usability evaluation of the interface design and process operation, as well as the user experience satisfaction in these three apps, are even more critical. The development and application of digital services redefine social behavior patterns, and people's ways of making new friends have transitioned from traditional face-to-face meetings to virtual video meetings. The use of remote virtual video or smartphone video will become the norm. Therefore, everyone establishes a new mode of communication and exchange through application software. In augmented reality social communication applications, how to quickly achieve user satisfaction in the "facial effect interface" and "function editing" processes, and the recognition of "image symbols" will be the most important issues. The purpose of this study is to conduct user experience testing and cognitive psychology research on the three social communication applications, "Meta Spark App, Line App, and Snapchat App".Using application software, people are establishing new modes of communication. In augmented reality social communication applications, the user experience satisfaction of "facial effect interface," "function editing," and the operational process of "image symbols" identification will be the most important issues for this "social communication augmented reality app." The purpose of this study is to conduct user experience testing and cognitive psychology research on the three social communication applications "Meta Spark App, Line App, and Snapchat App."</t>
  </si>
  <si>
    <t>83–89</t>
  </si>
  <si>
    <t>ICCCM '23</t>
  </si>
  <si>
    <t>event-place: Nagoya, Japan</t>
  </si>
  <si>
    <t>User Experience Design; Augmented Reality APP; Cognitive Psychology; Image Symbol Design</t>
  </si>
  <si>
    <t>HIK4586X</t>
  </si>
  <si>
    <t>Song, Hong; Yue, Zhi</t>
  </si>
  <si>
    <t>Research on user experience evaluation of man-machine interaction interface based on virtual reality technology</t>
  </si>
  <si>
    <t>Int. J. Inf. Commun. Techol.</t>
  </si>
  <si>
    <t>1466-6642</t>
  </si>
  <si>
    <t>10.1504/ijict.2021.118572</t>
  </si>
  <si>
    <t>https://doi.org/10.1504/ijict.2021.118572</t>
  </si>
  <si>
    <t>Due to the complexity of user experience evaluation information data of human-computer interaction interface, the traditional evaluation method has a single information channel, resulting in the low quality of human-computer interaction interface. This paper proposes a user experience evaluation method based on virtual reality technology. Using virtual reality technology to restore the quality of human-computer interaction interface, build the fuzzy analytic hierarchy process of samples, and obtain the corresponding membership function. According to the superposition of the membership degree, the membership degree evaluation matrix of the first level index is established, and the user experience evaluation of human-computer interaction interface based on virtual reality technology is completed. The simulation results show that the proposed method can effectively improve the operation efficiency and accuracy, and has good stability, and has good application value.</t>
  </si>
  <si>
    <t>2021-01</t>
  </si>
  <si>
    <t>356–370</t>
  </si>
  <si>
    <t>Place: Geneva 15, CHE Publisher: Inderscience Publishers</t>
  </si>
  <si>
    <t>user experience; evaluation; man-machine interaction interface; virtual reality technology</t>
  </si>
  <si>
    <t>8ETFPB43</t>
  </si>
  <si>
    <t>Neamțu, Călin; Comes, Radu; Popovici, Dorin-Mircea; Băutu, Elena; Liliana, Mateescu-Suciu; Syrotnik, Adrien; Popovici, Matei-Ioan</t>
  </si>
  <si>
    <t>Evaluating User Experience in the Context of Cultural Heritage Dissemination Using Extended Reality: A Case Study of the Dacian Bronze Matrix with Hollow Design</t>
  </si>
  <si>
    <t>10.1145/3639933</t>
  </si>
  <si>
    <t>https://doi.org/10.1145/3639933</t>
  </si>
  <si>
    <t>Cultural institutions are increasingly prioritizing the utilization of diverse mixed reality technologies to enrich the visitor experience during their physical exhibitions. These institutions are actively integrating virtual assets to enhance interactivity and facilitate immersive storytelling experiences. The use of extended reality technologies in cultural heritage dissemination has become a common solution to improve the perception on cultural heritage of their visitors. The objective of the proposed research is to conduct a comparative analysis of three distinct extended reality applications used in cultural heritage experiences. The proposed workflow integrates advanced 3D scanning technology and additive manufacturing techniques to produce tangible replicas which are further enhanced using extended reality technologies, such as augmented reality, desktop virtual reality, and immersive virtual reality. To evaluate the developed extended reality applications, we have conducted various System Usability Scale tools to assess applications’ usability while also trying to identify the most appropriate application that can be integrated within the museum exhibition. From a utility point of view, we found no notable differences in the user perceptions between proposed solutions, whereas from a usability and satisfaction point of view, the most preferred solution was the augmented reality one. The workflow is presented in sufficient detail to ensure the replication of the results.</t>
  </si>
  <si>
    <t>2024-02</t>
  </si>
  <si>
    <t>gesture-based interaction; human-computer interfaces for virtual and digital museums; ICT technologies in support of creating new cultural experiences or digital artefacts; virtual and augmented reality technologies for virtual and digital museums</t>
  </si>
  <si>
    <t>MIT4ACLK</t>
  </si>
  <si>
    <t>Catenazzi, Nadia; Sommaruga, Lorenzo; Locatelli, Chiara</t>
  </si>
  <si>
    <t>Usability Evaluation of Mixed Reality Applications in VET Training</t>
  </si>
  <si>
    <t>Extended Reality: International Conference, XR Salento 2023, Lecce, Italy, September 6-9, 2023, Proceedings, Part I</t>
  </si>
  <si>
    <t>978-3-031-43400-6</t>
  </si>
  <si>
    <t>10.1007/978-3-031-43401-3_27</t>
  </si>
  <si>
    <t>https://doi.org/10.1007/978-3-031-43401-3_27</t>
  </si>
  <si>
    <t>This paper presents a usability study of wearable and handheld Mixed Reality and hypervideo technologies to support procedural learning in the vocational education and training context. As a case study an application based on the Tangram game was developed for HoloLens 2, Android smartphones and hypervideo. The app is structured as a procedural learning activity with incremental levels of scaffolding. The usability of these applications was evaluated in a user testing involving 90 students. No remarkable difference has emerged among the three applications in terms of completion rate during the learning process, but in the retention and transfer tasks HoloLens 2 users performed worse than users of the other devices. Considering the time on task metric, HoloLens 2 users time was aligned with hypervideo, while smartphone users generally took more time, probably because smartphones are not hand-free devices. An expert review was also conducted, providing a number of suggestions for improvements, mainly concerning the interaction design, and the positioning of holograms in the physical space. In the comparison among the devices, none was clearly preferred over the other: HoloLens 2 presented higher attractiveness, motivation of use, sense of immersion, but also greater cognitive load; handheld devices resulted easy to use but required considerable physical effort in activities where they needed to be hold for a long time. Hypervideo was easy to access, with an intuitive interaction, but less attractive.</t>
  </si>
  <si>
    <t>410–423</t>
  </si>
  <si>
    <t>event-place: Lecce, Italy</t>
  </si>
  <si>
    <t>handheld MR; hypervideo; Interaction; Usability; User experience; wearable MR</t>
  </si>
  <si>
    <t>MDRM3784</t>
  </si>
  <si>
    <t>Materna, Zdeněk; Kapinus, Michal; Beran, Vítězslav; Smrž, Pavel; Zemčík, Pavel</t>
  </si>
  <si>
    <t>Interactive Spatial Augmented Reality in Collaborative Robot Programming: User Experience Evaluation</t>
  </si>
  <si>
    <t>2018 27th IEEE International Symposium on Robot and Human Interactive Communication (RO-MAN)</t>
  </si>
  <si>
    <t>978-1-5386-7980-7</t>
  </si>
  <si>
    <t>10.1109/ROMAN.2018.8525662</t>
  </si>
  <si>
    <t>https://doi.org/10.1109/ROMAN.2018.8525662</t>
  </si>
  <si>
    <t>This paper presents a novel approach to interaction between human workers and industrial collaborative robots. The proposed approach addresses problems introduced by existing solutions for robot programming. It aims to reduce the mental demands and attention switches by centering all interaction in a shared workspace, combining various modalities and enabling interaction with the system without any external devices. The concept allows simple programming in the form of setting program parameters using spatial augmented reality for visualization and a touch-enabled table and robotic arms as input devices. We evaluated the concept utilizing a user experience study with six participants (shop-floor workers). All participants were able to program the robot and to collaborate with it using the program they parametrized. The final goal is to create a distraction-free, usable and low-effort interface for effective human-robot collaboration, enabling any ordinary skilled worker to customize the robot&amp;amp;#x0027;s program to changes in production or to personal (e.g. ergonomic) needs.</t>
  </si>
  <si>
    <t>80–87</t>
  </si>
  <si>
    <t>IEEE Press</t>
  </si>
  <si>
    <t>Nanjing, China</t>
  </si>
  <si>
    <t>QNPMHV5E</t>
  </si>
  <si>
    <t>Bedard, Andrew; Bedard, Kevin; Zhang, Qiping</t>
  </si>
  <si>
    <t>Games that Move You: A Cinematic User Experience Evaluation of VR Games</t>
  </si>
  <si>
    <t>Virtual, Augmented and Mixed Reality: 16th International Conference, VAMR 2024, Held as Part of the 26th HCI International Conference, HCII 2024, Washington, DC, USA, June 29 – July 4, 2024, Proceedings, Part I</t>
  </si>
  <si>
    <t>978-3-031-61040-0</t>
  </si>
  <si>
    <t>10.1007/978-3-031-61041-7_11</t>
  </si>
  <si>
    <t>https://doi.org/10.1007/978-3-031-61041-7_11</t>
  </si>
  <si>
    <t>As the entertainment landscape continues to evolve, researchers have concentrated their efforts on the potentiality of digital technologies to promote more immersive experiences, especially the relevance of virtual reality and gaming technologies for their unique approaches to maintaining the attention of viewers while also eliciting both meaningful and immersive experiences. The objective of this paper is to examine the immersion and continuity of cinematic virtual reality (CVR) through interactive media such as gaming. We developed a heuristic checklist to evaluate core aspects of the gameplay and cinematic experience of an adventure VR game. It features four aspects: general usability, mobility, playability, and cinematic engagement. For playability, this research focuses on heuristic elements of gameplay, game mechanics, game story, and onboarding. For cinematic engagement, we highlighted four factors that are influential to the continuity of cinematic experiences: captivation, real-world dissociation, comprehension, and transformation. Our results revealed the usability problems in three areas: (1) General Usability, (2) Gameplay Heuristics, and (3) Dynamic Gameplay in Cinematic Context (DGCC). Captivation was found to be the least affected by gameplay experience, as graphical fidelity maintained its consistency throughout play sessions, while real-world dissociation was limited by a lack of continuity with the game controls. In summary, our results suggested that even when players’ cinematic and graphical impressions of Red Matter 2 were primarily positive, the lack of diegetic referencing such as text-based instruction and help with in-game activities, led to a negative experience with the game and considerable frustration.</t>
  </si>
  <si>
    <t>166–181</t>
  </si>
  <si>
    <t>augmented reality; cinematic virtual reality; narrative games; user experience; video games; virtual reality</t>
  </si>
  <si>
    <t>UZI2AA4U</t>
  </si>
  <si>
    <t>Trindade, Yanick; Rebelo, Francisco; Noriega, Paulo</t>
  </si>
  <si>
    <t>Tourism and Virtual Reality: User Experience Evaluation of a Virtual Environment Prototype</t>
  </si>
  <si>
    <t>Design, User Experience, and Usability: Users, Contexts and Case Studies: 7th International Conference, DUXU 2018, Held as Part of HCI International 2018, Las Vegas, NV, USA, July 15–20, 2018, Proceedings, Part III</t>
  </si>
  <si>
    <t>978-3-319-91805-1</t>
  </si>
  <si>
    <t>10.1007/978-3-319-91806-8_57</t>
  </si>
  <si>
    <t>https://doi.org/10.1007/978-3-319-91806-8_57</t>
  </si>
  <si>
    <t>Tourism is one of the largest industries and one of the fastest growing sectors in the world. At present and due to accessibility and improvement of technology, the tourism industry has been using experiences based on Virtual Reality, because they offer immersive experiences that absorb the user through sensory stimulation like sight and sound. The game, plays an essential role in the imaginary constructive process. By engaging fascination through interactivity, digital games introduce a sense of experimentation that facilitates immersion. In this context, the present preliminary study sought to assess the user experience through development of an immersive virtual reality game, to share the cultural aspects of São Tomé island and engaging the participants to visit the island. The goal of this study is to evaluate usability and user experience in a three-dimensional virtual reality environment prototype of a beach place, in a traditional hostel. Concerning usability, we evaluated the participants interaction in virtual world through their behavior, and responses to questionnaires of presence and simulator sickness. To evaluate the user experience, we evaluated emotions through use of a scale of valence and arousal (SAM) and categories of emotions elicited by the VR simulation using the Geneva Emotion Wheel. The results reveal that the three-dimensional virtual reality environment prototype provided high level of immersion, the control and sensory factors also present high value, while the distraction factors recorded reveal that they were not significant, and participant also felt that the experience had a high level of realism. No significant simulator sickness problems were reported. User experience was emotionally positive with high values of pleasure and contentment. In conclusion, the 3D virtual reality environment prototype was able to engage the participants and provide interactive experiences capable to seducing and arousing interest in the São Tomé and Príncipe islands.</t>
  </si>
  <si>
    <t>730–742</t>
  </si>
  <si>
    <t>event-place: Las Vegas, NV, USA</t>
  </si>
  <si>
    <t>Design; Tourism; Usability methods and tools; Virtual reality</t>
  </si>
  <si>
    <t>73MVQ7GL</t>
  </si>
  <si>
    <t>Lau, Joyce S.Y.; Tang, Yuk Ming; Gao, Grace; Fong, Kenneth N.K.; So, Billy C.L.</t>
  </si>
  <si>
    <t>Development and Usability Testing of Virtual Reality (VR)-Based Reminiscence Therapy for People with Dementia</t>
  </si>
  <si>
    <t>Information Systems Frontiers</t>
  </si>
  <si>
    <t>1387-3326</t>
  </si>
  <si>
    <t>10.1007/s10796-024-10479-w</t>
  </si>
  <si>
    <t>https://doi.org/10.1007/s10796-024-10479-w</t>
  </si>
  <si>
    <t>The prevalence of dementia is increasing due to a longer life expectancy and an ageing population. Cognitive impairment affects patients’ daily lives and places a financial and healthcare burden on them and their families. Reminiscence therapy (RT) is a non-pharmacological approach that has been found to enhance the quality of life for older adults with or without dementia. There is an urgent need for more functional and effective treatments, such as virtual reality (VR), which are becoming increasingly popular. VR in RT is a relatively new field, and this paper proposes a conceptual model for developing proof-of-concept virtual reality-based reminiscence therapy (VR-RT) for people with dementia, based on the 4Is: immersion, interaction, imagination, and impression. This model is intended to offer an alternative therapeutic experience for older adults with dementia. This paper demonstrates VR-RT in accordance with the results from the proposed 4Is model, to depict different periods of the olden days of scenes, such as restoring the historical objects and appearance of the citizens. The proposed VR-RT is then evaluated with the occupational therapists (OTs) through pilot testing. The findings reveal that VR-RT based on the proposed model may elicit a positive attitude and motivation in older adults with dementia. The proposed 4Is model serves to offer essential features for VR development, followed by a survey to identify suitable reminiscence materials and themes tailored to older adults with dementia. A pilot test with OTs revealed that VR-RT has the potential to improve the conditions of people with dementia. The research contributes valuable insights and lays the groundwork for future development of VR-RT for people with dementia.</t>
  </si>
  <si>
    <t>155–170</t>
  </si>
  <si>
    <t>Place: USA Publisher: Kluwer Academic Publishers</t>
  </si>
  <si>
    <t>/Users/dennis/Zotero/storage/X9SJH28F/Lau et al. - 2025 - Development and Usability Testing of Virtual Reality (VR)-Based Reminiscence Therapy for People with.pdf</t>
  </si>
  <si>
    <t>Virtual reality; 4Is; Cognitive training; Dementia; Reminiscence therapy</t>
  </si>
  <si>
    <t>HSZMACV2</t>
  </si>
  <si>
    <t>Asghar, Ikram; Ullah, Rahmat; Griffiths, Mark G; Warren, William; Dando, Luke; Davies, John</t>
  </si>
  <si>
    <t>A User-Centered System Usability Evaluation of a Virtual Reality Application Developed for Solar Farm Training</t>
  </si>
  <si>
    <t>Proceedings of the 2023 9th International Conference on Computer Technology Applications</t>
  </si>
  <si>
    <t>978-1-4503-9957-9</t>
  </si>
  <si>
    <t>10.1145/3605423.3605456</t>
  </si>
  <si>
    <t>https://doi.org/10.1145/3605423.3605456</t>
  </si>
  <si>
    <t>The hazardous potential of the Photovoltaic (PV) industry demands the most rigorous and professional training. However, such training requires many resources and time and has potential health and safety risks. Incorporating emerging technologies in such training can be helpful. This paper proposes SolarPro, a virtual reality application for solar farm training that can aid solar farm trainees in getting initial training in the virtual environment. The application's usability is tested through multiple testing sessions with 30 participants. The testing participants experienced the virtual scenarios, completed the tasks and filled out the system usability questionnaires. The system usability scale analysis resulted in a grade A score of 81.75. The analysis based on the demographic characteristics also showed positive results. We can conclude that the SolarPro virtual reality application has high system usability. However, it is suggested to have more than just 30 respondents for the usability test to conclude more promising results.CCS CONCEPTS • Human-centered computing ∼Human computer interaction (HCI) ∼Interaction paradigms ∼Virtual reality</t>
  </si>
  <si>
    <t>157–165</t>
  </si>
  <si>
    <t>ICCTA '23</t>
  </si>
  <si>
    <t>event-place: Vienna, Austria</t>
  </si>
  <si>
    <t>Virtual reality; System usability; User testing; Solar farm</t>
  </si>
  <si>
    <t>BNT9TXQS</t>
  </si>
  <si>
    <t>Yoo, Soojeong; Ramalhinho, João; Dowrick, Thomas; Somasundaram, Murali; Gurusamy, Kurinchi; Davidson, Brian; Clarkson, Matthew J.; Blandford, Ann</t>
  </si>
  <si>
    <t>Can engineers represent surgeons in usability studies? Comparison of results from evaluating augmented reality guidance for laparoscopic surgery</t>
  </si>
  <si>
    <t>Comput. Graph.</t>
  </si>
  <si>
    <t>0097-8493</t>
  </si>
  <si>
    <t>10.1016/j.cag.2024.01.008</t>
  </si>
  <si>
    <t>https://doi.org/10.1016/j.cag.2024.01.008</t>
  </si>
  <si>
    <t>2024-04</t>
  </si>
  <si>
    <t>Place: USA Publisher: Pergamon Press, Inc.</t>
  </si>
  <si>
    <t>Augmented reality; Usability study; Laparoscopic surgery; Operating theatre</t>
  </si>
  <si>
    <t>HRVU984J</t>
  </si>
  <si>
    <t>Harms, Patrick</t>
  </si>
  <si>
    <t>Automated Usability Evaluation of Virtual Reality Applications</t>
  </si>
  <si>
    <t>ACM Transactions on Computer-Human Interaction</t>
  </si>
  <si>
    <t>1073-0516</t>
  </si>
  <si>
    <t>10.1145/3301423</t>
  </si>
  <si>
    <t>https://doi.org/10.1145/3301423</t>
  </si>
  <si>
    <t>Virtual reality (VR) and VR applications have reached the end-user and, hence, the demands on usability, also for novel applications, have increased. This situation requires VR usability evaluation methods that can be applied quickly, even after a first release of an application. In this article, we describe such an approach, which is fully automated and does not ask users to perform predefined tasks in a fixed test setting. Instead, it works on recordings of the actual usage of a VR application from which it generates task trees. Afterwards, it analyzes these task trees to search for usability smells, i.e., user behavior indicating usability issues. Our approach provides detailed descriptions of the usability issues that have been found and how they can be solved. We performed a large case study to evaluate our approach and show that it is capable of correctly identifying usability issues. Although our approach is applicable for different VR interaction modalities, such as gaze, controller, or hand interaction, it also has limitations. For example, it can detect diverse issues related to user efficiency, but specific misunderstandings of users cannot be uncovered.</t>
  </si>
  <si>
    <t>2019-04</t>
  </si>
  <si>
    <t>ACM Trans. Comput.-Hum. Interact.</t>
  </si>
  <si>
    <t>virtual reality; Usability engineering; Automation; Virtual reality; Behavioral research; VR applications; Automated usability evaluation; Task tree; task tree generation; Task tree generation; usability smell detection; Usability smell detection; Fully automated; Forestry; Novel applications; Usability evaluation methods; User behaviors; User efficiencies</t>
  </si>
  <si>
    <t>S7VH7LJU</t>
  </si>
  <si>
    <t>Yang, Xiliu; Sousa Calepso, Aimée; Amtsberg, Felix; Menges, Achim; Sedlmair, Michael</t>
  </si>
  <si>
    <t>Usability Evaluation of an Augmented Reality System for Collaborative Fabrication between Multiple Humans and Industrial Robots</t>
  </si>
  <si>
    <t>Proceedings of the 2023 ACM Symposium on Spatial User Interaction</t>
  </si>
  <si>
    <t>979-8-4007-0281-5</t>
  </si>
  <si>
    <t>10.1145/3607822.3614528</t>
  </si>
  <si>
    <t>https://doi.org/10.1145/3607822.3614528</t>
  </si>
  <si>
    <t>Semi-automated timber fabrication tasks demand the expertise and dexterity of human workers in addition to the use of automated robotic systems. In this paper, we introduce a human-robot collaborative system based on Augmented Reality (AR). To assess our approach, we conducted an exploratory user study on a head-mounted display (HMD) interface for task sharing between humans and an industrial robotic platform (N=16). Instead of screen-based interfaces, HMDs allowed users to receive information in-situ, regardless of their location in the workspace and the need to use their hands to handle tools or carry out tasks. We analyzed the resulting open-ended, qualitative user feedback as well as the quantitative user experience data. From the results, we derived challenges to tackle in future implementations and questions that need to be investigated to improve AR-based HRI in fabrication scenarios. The results also suggest that some aspects of human-robot interaction, like communication and trust, are more prominent when implementing a non-dyadic scenario and dealing with larger robots. The study is intended as a prequel to future work into AR-based collaboration between multiple humans and industrial robots.</t>
  </si>
  <si>
    <t>SUI '23</t>
  </si>
  <si>
    <t>event-place: Sydney, NSW, Australia</t>
  </si>
  <si>
    <t>augmented reality; Augmented reality; Augmented reality systems; Collaborative systems; Fabrication; Helmet mounted displays; Human robot interaction; Human robots; human-robot interaction; Humans-robot interactions; Industrial robots; Man machine systems; robotic fabrication; Robotic fabrications; Robotic systems; Task demand; Usability evaluation; user experience; User interfaces; Users' experiences; Virtual reality; Workers'</t>
  </si>
  <si>
    <t>RZKRPTCP</t>
  </si>
  <si>
    <t>Hartstein, Aaron J.; Verkuyl, Margaret; Zimney, Kory; Yockey, Jean; Berg-Poppe, Patti</t>
  </si>
  <si>
    <t>Virtual Reality Instructional Design in Orthopedic Physical Therapy Education: A Mixed-Methods Usability Test</t>
  </si>
  <si>
    <t>Simul. Gaming</t>
  </si>
  <si>
    <t>1046-8781</t>
  </si>
  <si>
    <t>10.1177/10468781211073646</t>
  </si>
  <si>
    <t>https://doi.org/10.1177/10468781211073646</t>
  </si>
  <si>
    <t>2022-04</t>
  </si>
  <si>
    <t>111–134</t>
  </si>
  <si>
    <t>Place: USA Publisher: Sage Publications, Inc.</t>
  </si>
  <si>
    <t>virtual reality; usability testing; simulation; clinical decision-making; health professions; physical therapy education</t>
  </si>
  <si>
    <t>7ZHYQ6DG</t>
  </si>
  <si>
    <t>Canelha, José; Cardoso, Jorge C. S.; Perrotta, André</t>
  </si>
  <si>
    <t>Usability Evaluation of a VibroTactile API for Web-Based Virtual Reality Experiences</t>
  </si>
  <si>
    <t>Human-Computer Interaction – INTERACT 2021: 18th IFIP TC 13 International Conference, Bari, Italy, August 30 – September 3, 2021, Proceedings, Part V</t>
  </si>
  <si>
    <t>978-3-030-85606-9</t>
  </si>
  <si>
    <t>10.1007/978-3-030-85607-6_70</t>
  </si>
  <si>
    <t>https://doi.org/10.1007/978-3-030-85607-6_70</t>
  </si>
  <si>
    <t>This paper presents the Vibrotactile Editor System for designing and programming Vibrotactile (VT) feedback for Virtual Reality (VR) experiences. We describe the system and a usability evaluation of the programmatic component for the A-Frame web-based VR framework through a set of programming tasks. The resolution of the tasks showed some difficulty in understanding the state of the component when developing without the VT hardware present. The results show a number of potential improvements that we discuss.</t>
  </si>
  <si>
    <t>517–521</t>
  </si>
  <si>
    <t>event-place: Bari, Italy</t>
  </si>
  <si>
    <t>/Users/dennis/Zotero/storage/VGA5ASM2/Canelha et al. - 2021 - Usability Evaluation of a VibroTactile API for Web-Based Virtual Reality Experiences.pdf</t>
  </si>
  <si>
    <t>API; Usability evaluation; Vibrotactile feedback; Virtual Reality</t>
  </si>
  <si>
    <t>3RYISPJ2</t>
  </si>
  <si>
    <t>Derby, Jessyca L.; Chaparro, Barbara S.</t>
  </si>
  <si>
    <t>The Development and Validation of an Augmented and Mixed Reality Usability Heuristic Checklist</t>
  </si>
  <si>
    <t>Virtual, Augmented and Mixed Reality: Design and Development: 14th International Conference, VAMR 2022, Held as Part of the 24th HCI International Conference, HCII 2022, Virtual Event, June 26 – July 1, 2022, Proceedings, Part I</t>
  </si>
  <si>
    <t>978-3-031-05938-4</t>
  </si>
  <si>
    <t>10.1007/978-3-031-05939-1_11</t>
  </si>
  <si>
    <t>https://doi.org/10.1007/978-3-031-05939-1_11</t>
  </si>
  <si>
    <t>Augmented Reality (AR) and Mixed Reality (MR) are new emerging technologies that are becoming increasingly popular. Because these technologies are so new, there is a lack of standards and consistency in application and hardware design. This can make it difficult to learn and frustrating for users. One way to standardized design and enhance the usability of a product is through the use of heuristic evaluations. General heuristics, such as Nielsen’s 10 or Schneiderman’s 8 usability heuristics have been used to evaluate these technologies. These heuristics are a useful starting point because they bring attention to many crucial aspects of the usability of a product. However, additional aspects that could alter the users’ experience may not be assessed due to the uniqueness of AR and MR. There are very few validated AR and MR heuristics in the literature for practitioners to use. The purpose of this study was to create and validate a heuristic checklist that can be used to assess and inform design changes that influence the user experience of an AR or MR application and/or device. We followed an established and comprehensive 8-stage methodology developed by Quiñones, Rusu, &amp;amp; Rusu to create and validate our AR and MR usability heuristic checklist [4]. This included a search and summary of the current literature, formally defining heuristics based on this literature search, and validating through heuristic evaluations, expert reviews, and user testing. Our final revised heuristic checklist included 11 heuristics and 94 checklist items that encompasses usability aspects for AR and MR technologies.</t>
  </si>
  <si>
    <t>165–182</t>
  </si>
  <si>
    <t>Augmented Reality; Design guidelines; Human factors; Mixed Reality; Usability; User experience</t>
  </si>
  <si>
    <t>BFB3L372</t>
  </si>
  <si>
    <t>Mehtonen, Helena; Järnstedt, Jorma; Kangas, Jari; Kumar, Sriram; Rinta-Kiikka, Irina; Raisamo, Roope</t>
  </si>
  <si>
    <t>Evaluation of properties and usability of virtual reality interaction techniques in craniomaxillofacial computer-assisted surgical simulation</t>
  </si>
  <si>
    <t>Proceedings of the 35th Australian Computer-Human Interaction Conference</t>
  </si>
  <si>
    <t>979-8-4007-1707-9</t>
  </si>
  <si>
    <t>10.1145/3638380.3638433</t>
  </si>
  <si>
    <t>https://doi.org/10.1145/3638380.3638433</t>
  </si>
  <si>
    <t>Although there are promising results from the use of virtual reality (VR) in the craniomaxillofacial field, there is still a need to validate the usability and properties of the VR environment and interaction techniques. The aim of this study was to evaluate the suitability of VR interaction methods for craniomaxillofacial computer-assisted surgical simulation (CASS) and to identify possible areas for improvement.Four VR interaction conditions were compared quantitatively and qualitatively: Hand, Mouse, Pen and, Controller. Four oral and maxillofacial radiologists performed a VR marking task on skull stereolithography models. Quantitative measures included accuracy, completion time, number of grasps and development. Qualitative attributes were easiness, efficiency, physical effort, accuracy, and naturalness.Mouse (1,51 mm) and Controller (1,73 mm) were the most accurate, Pen was the close third (2,06 mm), while Hand (4,52 mm) scored poorly. Mouse was slower and more burdensome than the other conditions. The accuracy of Pen and the completion times of Hand, Pen and Mouse improved over time. The usability of Controller (1,50) was rated best in Likert scale (1-5), with Pen (1,75) the close second. Mouse (3,00) and Hand (3,57) were inferior, and overall, Hand was the least preferred.Controller and Mouse achieved acceptable accuracy for craniomaxillofacial CASS. The usability of Controller was also rated highest, and it was the preferred choice of the radiologists. The combination of Mouse and VR was unnatural and cumbersome. To achieve an acceptable level of accuracy for Hand, hand tracking technology needs to be significantly improved.</t>
  </si>
  <si>
    <t>306–315</t>
  </si>
  <si>
    <t>OzCHI '23</t>
  </si>
  <si>
    <t>event-place: Wellington, New Zealand</t>
  </si>
  <si>
    <t>Virtual reality; Interaction techniques; Computer-assisted surgical simulation; Cone beam computed tomography; Craniomaxillofacial radiology; Craniomaxillofacial surgery</t>
  </si>
  <si>
    <t>KVXCZ89F</t>
  </si>
  <si>
    <t>Jangid, Vishal; Kongsilp, Sirisilp</t>
  </si>
  <si>
    <t>Fishtank Sandbox: A Software Framework for Collaborative Usability Testing of Fish Tank Virtual Reality Interaction Techniques</t>
  </si>
  <si>
    <t>Proceedings of the 27th ACM Symposium on Virtual Reality Software and Technology</t>
  </si>
  <si>
    <t>978-1-4503-9092-7</t>
  </si>
  <si>
    <t>10.1145/3489849.3489915</t>
  </si>
  <si>
    <t>https://doi.org/10.1145/3489849.3489915</t>
  </si>
  <si>
    <t>Human-computer interaction researchers have been studying how we can interact with virtual objects in a virtual environment efficiently. Many usability experiments do not have the same control parameters. The lack of consistency makes comparing different interaction techniques difficult. In this article, we present a software framework for usability study in FTVR interaction techniques. The software framework provides fixed control parameters (e.g., task, graphic settings, and measuring parameters), the ability for other researchers to incorporate their interaction techniques as an add-on, and enabling individuals to participate in the experiment over the internet. The article explores a new way for VR/AR researchers to approach usability experiments using the framework and discuss the challenges that it brings.</t>
  </si>
  <si>
    <t>VRST '21</t>
  </si>
  <si>
    <t>event-place: Osaka, Japan</t>
  </si>
  <si>
    <t>Fish Tank Virtual Reality; Framework; Usability Testing</t>
  </si>
  <si>
    <t>UYURZNP9</t>
  </si>
  <si>
    <t>Tang, Yiliu; Situ, Jason; Huang, Yun</t>
  </si>
  <si>
    <t>Beyond User Experience: Technical and Contextual Metrics for Large Language Models in Extended Reality</t>
  </si>
  <si>
    <t>Companion of the 2024 on ACM International Joint Conference on Pervasive and Ubiquitous Computing</t>
  </si>
  <si>
    <t>979-8-4007-1058-2</t>
  </si>
  <si>
    <t>10.1145/3675094.3678995</t>
  </si>
  <si>
    <t>https://doi.org/10.1145/3675094.3678995</t>
  </si>
  <si>
    <t>Spatial Computing involves interacting with the physical world through spatial data manipulation, closely linked with Extended Reality (XR), which includes Virtual Reality (VR), Augmented Reality (AR), and Mixed Reality (MR). Large Language Models (LLMs) significantly enhance XR applications by improving user interactions through natural language understanding and content generation. Typical evaluations of these applications focus on user experience (UX) metrics, such as task performance, user satisfaction, and psychological assessments, but often neglect the technical performance of the LLMs themselves. This paper identifies significant gaps in current evaluation practices for LLMs within XR environments, attributing them to the novelty of the field, the complexity of spatial contexts, and the multimodal nature of interactions in XR. To address these gaps, the paper proposes specific metrics tailored to evaluate LLM performance in XR contexts, including spatial contextual awareness, coherence, proactivity, multimodal integration, hallucination, and question-answering accuracy. These proposed metrics aim to complement existing UX evaluations, providing a comprehensive assessment framework that captures both the technical and user-centric aspects of LLM performance in XR applications. The conclusion underscores the necessity for a dual-focused approach that combines technical and UX metrics to ensure effective and user-friendly LLM-integrated XR systems.</t>
  </si>
  <si>
    <t>640–643</t>
  </si>
  <si>
    <t>UbiComp '24</t>
  </si>
  <si>
    <t>event-place: Melbourne VIC, Australia</t>
  </si>
  <si>
    <t>virtual reality; augmented reality; user experience; mixed reality; spatial computing; evaluation metrics; extended reality; large language models</t>
  </si>
  <si>
    <t>DJWAIKPS</t>
  </si>
  <si>
    <t>Irlitti, Andrew; Hoang, Thuong; Vetere, Frank</t>
  </si>
  <si>
    <t>Surrogate-Aloud: A Human Surrogate Method for Remote Usability Evaluation and Ideation in Virtual Reality</t>
  </si>
  <si>
    <t>Extended Abstracts of the 2021 CHI Conference on Human Factors in Computing Systems</t>
  </si>
  <si>
    <t>978-1-4503-8095-9</t>
  </si>
  <si>
    <t>10.1145/3411763.3451764</t>
  </si>
  <si>
    <t>https://doi.org/10.1145/3411763.3451764</t>
  </si>
  <si>
    <t>Virtual and augmented reality offer comparative performance in terms of remote usability testing to lab-based co-located settings. However, direct contact with a researcher is still required to provide setup, troubleshoot, and training. In this paper, we present Surrogate-Aloud as a remote ideation and usability method that establishes a surrogate relationship between participants and a facilitating researcher through video conferencing. The researcher wears a VR headset and shares their viewpoint through video conferencing to a remote participant, who applies think-aloud protocol to express movement and interaction commands to be executed by the researcher, alongside their thought process as they interact with virtual prototypes or scenarios. We conducted a preliminary study to evaluate the Surrogate-Aloud method for remote usability evaluation and ideation of a new instructional technique with volumetric recordings. Results show that Surrogate-Aloud leverages the surrogate’s technical expertise and enables sufficient capability to conduct truly remote usability evaluation and ideation.</t>
  </si>
  <si>
    <t>CHI EA '21</t>
  </si>
  <si>
    <t>event-place: Yokohama, Japan</t>
  </si>
  <si>
    <t>Remote Usability Testing; Think-Aloud; Virtual Reality Surrogate</t>
  </si>
  <si>
    <t>MXAD493B</t>
  </si>
  <si>
    <t>Kerr, Steven J.; Rice, Mark D.; Teo, Yinquan; Wan, Marcus; Cheong, Yian Ling; Ng, Jamie; Ng-Thamrin, Lillian; Thura-Myo, Thant; Wren, Dominic</t>
  </si>
  <si>
    <t>Wearable mobile augmented reality: evaluating outdoor user experience</t>
  </si>
  <si>
    <t>Proceedings of the 10th International Conference on Virtual Reality Continuum and Its Applications in Industry</t>
  </si>
  <si>
    <t>978-1-4503-1060-4</t>
  </si>
  <si>
    <t>10.1145/2087756.2087786</t>
  </si>
  <si>
    <t>https://doi.org/10.1145/2087756.2087786</t>
  </si>
  <si>
    <t>Augmented Reality (AR) technologies offer the potential to aid users in a number of professional areas. However, to date, most studies have been tested in controlled laboratory conditions. This paper outlines a user experience study of a wearable mobile augmented reality system in an outdoor urban environment. We describe the use case of using a see-through monocular head-mounted display (HMD) with augmented imagery for orientation, and the use of gesture input for interacting with information while on-the-move. Participants had to navigate to a target location, whilst receiving information updates, and complete a series of gesture-based tasks. Despite participants managing to complete the tasks after some assistance, it was found that more improvements to the user experience are required for it to be viable in outdoor-use. In particular, better visibility, when see-through HMDs are used in a bright environment, and improved situation awareness. This paper further highlights the difficulties in using gesture input, and points to a number of areas requiring further research into the use of wearable mobile AR systems in the context of this work.</t>
  </si>
  <si>
    <t>209–216</t>
  </si>
  <si>
    <t>VRCAI '11</t>
  </si>
  <si>
    <t>event-place: Hong Kong, China</t>
  </si>
  <si>
    <t>usability; augmented reality; user experience; field study; see-through monocular HMD</t>
  </si>
  <si>
    <t>VLSWNG78</t>
  </si>
  <si>
    <t>Liu, Yifei; Yang, Nancy; Li, Alyssa; Paterson, Jesse; McPherson, David; Cheng, Tom; Yang, Allen Y.</t>
  </si>
  <si>
    <t>Usability Evaluation for Drone Mission Planning in Virtual Reality</t>
  </si>
  <si>
    <t>Virtual, Augmented and Mixed Reality: Applications in Health, Cultural Heritage, and Industry: 10th International Conference, VAMR 2018, Held as Part of HCI International 2018, Las Vegas, NV, USA, July 15-20, 2018, Proceedings, Part II</t>
  </si>
  <si>
    <t>978-3-319-91583-8</t>
  </si>
  <si>
    <t>10.1007/978-3-319-91584-5_25</t>
  </si>
  <si>
    <t>https://doi.org/10.1007/978-3-319-91584-5_25</t>
  </si>
  <si>
    <t>There has been a lot of research conducted on human-robot interaction (HRI) with drones as well as human-computer interaction (HCI) with virtual reality (VR). However, little work was done on VR as HRI, even less for VR and drones in particular. In this paper, we evaluate the usability of VR interfaces used to control drones through working with UC Berkeley’s Immersive Semi-Autonomous Aerial Command System (ISAACS) project, which experiments with new ways for humans to interact with drones in a VR environment. Our experiment setting focuses on the drone mission planning phase and on creating an onboarding experience for new users. We develop a usability evaluation framework for the ISAACS VR system, and use this framework to conduct two iterations of user testing and prototyping with a human-centered design process.</t>
  </si>
  <si>
    <t>313–330</t>
  </si>
  <si>
    <t>event-place: Las Vegas, FL, USA</t>
  </si>
  <si>
    <t>Drone; HCI; UAV; Usability evaluation; User interface; Virtual reality</t>
  </si>
  <si>
    <t>Q6XTGKHG</t>
  </si>
  <si>
    <t>Bernardelli, Giuseppina; Flori, Valeria; Greci, Luca; Scaglione, Arianna; Zangiacomi, Andrea</t>
  </si>
  <si>
    <t>A Virtual Reality Based Application for Children with ADHD: Design and Usability Evaluation</t>
  </si>
  <si>
    <t>Augmented Reality, Virtual Reality, and Computer Graphics: 8th International Conference, AVR 2021, Virtual Event, September 7–10, 2021, Proceedings</t>
  </si>
  <si>
    <t>978-3-030-87594-7</t>
  </si>
  <si>
    <t>10.1007/978-3-030-87595-4_27</t>
  </si>
  <si>
    <t>https://doi.org/10.1007/978-3-030-87595-4_27</t>
  </si>
  <si>
    <t>This work presents a VR based serious game for children with ADHD and aims at providing an evaluation of the acceptability and the usability of an application developed to create a meaningful and motivating environment for the child, capable of supporting the development of the various attentional components. Due to the Covid-19 pandemic the evaluation was performed online offering also the opportunity to test the feasibility of a validation remotely performed. The expert involved in the study expressed a positive judgment on the application, considering it understandable and easy to use. Moreover, they confirmed that the actions performed by the operator, during the remote sessions, were clear and made it possible to understand the tasks required within by the serious game, thus enabling to provide evidence on such kind of remote validation.</t>
  </si>
  <si>
    <t>363–375</t>
  </si>
  <si>
    <t>A Virtual Reality Based Application for Children with ADHD</t>
  </si>
  <si>
    <t>Attention Deficit Hyperactivity Disorder; Cognitive rehabilitation; Serious game; Virtual reality</t>
  </si>
  <si>
    <t>2I5UAFMW</t>
  </si>
  <si>
    <t>Boletsis, Costas</t>
  </si>
  <si>
    <t>A User Experience Questionnaire for VR Locomotion: Formulation and Preliminary Evaluation</t>
  </si>
  <si>
    <t>Augmented Reality, Virtual Reality, and Computer Graphics: 7th International Conference, AVR 2020, Lecce, Italy, September 7–10, 2020, Proceedings, Part I</t>
  </si>
  <si>
    <t>978-3-030-58464-1</t>
  </si>
  <si>
    <t>10.1007/978-3-030-58465-8_11</t>
  </si>
  <si>
    <t>https://doi.org/10.1007/978-3-030-58465-8_11</t>
  </si>
  <si>
    <t>When evaluating virtual reality (VR) locomotion techniques, the user experience metrics that are used are usually either focused on specific experiential dimensions or based on non-standardised, subjective reporting. The field would benefit from a standard questionnaire for evaluating the general user experience of VR locomotion techniques. This paper presents a synthesised user experience questionnaire for VR locomotion, which is called the VR Locomotion Experience Questionnaire (VRLEQ). It comprises the Game Experience Questionnaire (GEQ) and the System Usability Scale (SUS) survey. The results of the VRLEQ’s application in a comparative, empirical study () of three prevalent VR locomotion techniques are described. The questionnaire’s content validity is assessed at a preliminary level based on the correspondence between the questionnaire items and the qualitative results from the study’s semi-structured interviews. VRLEQ’s experiential dimensions’ scoring corresponded well with the semi-structured interview remarks and effectively captured the experiential qualities of each VR locomotion technique. The VRLEQ results facilitated and quantified comparisons between the techniques and enabled an understanding of how the techniques performed in relation to each other.</t>
  </si>
  <si>
    <t>157–167</t>
  </si>
  <si>
    <t>/Users/dennis/Zotero/storage/GTKAL8QS/Boletsis - 2020 - A User Experience Questionnaire for VR Locomotion Formulation and Preliminary Evaluation.pdf</t>
  </si>
  <si>
    <t>Locomotion; Questionnaire; User experience; Virtual reality</t>
  </si>
  <si>
    <t>U6K47W9Y</t>
  </si>
  <si>
    <t>Martinez, Kim; Menéndez-Menéndez, M. Isabel; Bustillo, Andres</t>
  </si>
  <si>
    <t>Considering User Experience Parameters in the Evaluation of VR Serious Games</t>
  </si>
  <si>
    <t>10.1007/978-3-030-58465-8_14</t>
  </si>
  <si>
    <t>https://doi.org/10.1007/978-3-030-58465-8_14</t>
  </si>
  <si>
    <t>Serious Games for Virtual Reality (SG-VR) is still a new subject that needs to be explored. Achieving the optimal fun and learning results depends on the application of the most suitable metrics. Virtual Reality environments offer great capabilities but at the same time make difficult to record User Experience (UX) to improve it. Moreover, the continuous evolution of Virtual Reality technologies and video game industry tendencies constantly change these metrics. This paper studies the Mechanics, Dynamics and Aesthetic (MDA) framework and User Experience metrics to develop new ones for SG-VR. These new parameters are focused on the intrinsic motivations the players need so they engage with the game. However, the development team budget must be taken into account, since it limits items and interactions but still have to aim to the learning goals. New VR metrics will be 1) UX features: chosen VR headsets, training interactions tutorials to learn control and interactive adaptions to avoid VR inconveniences; and 2) MDA features: exclusive VR aesthetical elements and its interactions.</t>
  </si>
  <si>
    <t>186–193</t>
  </si>
  <si>
    <t>Game design; Game evaluation; Serious games; Virtual reality</t>
  </si>
  <si>
    <t>NIY5BXMQ</t>
  </si>
  <si>
    <t>Irshad, Shafaq; Awang, Dayang Rohaya Bt</t>
  </si>
  <si>
    <t>A UX Oriented Evaluation approach for Mobile Augmented Reality Applications</t>
  </si>
  <si>
    <t>Proceedings of the 16th International Conference on Advances in Mobile Computing and Multimedia</t>
  </si>
  <si>
    <t>978-1-4503-6452-2</t>
  </si>
  <si>
    <t>10.1145/3282353.3282357</t>
  </si>
  <si>
    <t>https://doi.org/10.1145/3282353.3282357</t>
  </si>
  <si>
    <t>Augmented Reality (AR) presents a digitally enhanced 3D the real world, connecting users with meaningful content. AR is developing with the advancement in fields of computer graphics and HumanComputer Interaction (HCI) and can be experienced on handheld devices such as mobile phones, tables etc. However, in order for AR to mature further methods and procedures to conduct User experience(UX) evaluations on AR applications are required. This research paper presents a framework to evaluate AR applications. The framework follows a mixed method approach integrating both quantitative and qualitative methods within a longitudinal program of inquiry. The framework highlights the important attributes that can guide researchers and developers to evaluate the UX of MAR.</t>
  </si>
  <si>
    <t>108–112</t>
  </si>
  <si>
    <t>MoMM2018</t>
  </si>
  <si>
    <t>event-place: Yogyakarta, Indonesia</t>
  </si>
  <si>
    <t>Augmented Reality; Interaction design; User Experience; Human Computer Interaction; framework design; Mobile Augmented Reality; User Studies</t>
  </si>
  <si>
    <t>X8DY9HJ9</t>
  </si>
  <si>
    <t>Tan, Benny; Zhang, Huiguo; Miao, Chunyan; Liu, Siyuan</t>
  </si>
  <si>
    <t>Exploring the use of Virtual Reality for Evaluating Activities of Daily Living: A Usability Study</t>
  </si>
  <si>
    <t>5th International Conference on Crowd Science and Engineering</t>
  </si>
  <si>
    <t>978-1-4503-9554-0</t>
  </si>
  <si>
    <t>10.1145/3503181.3503201</t>
  </si>
  <si>
    <t>https://doi.org/10.1145/3503181.3503201</t>
  </si>
  <si>
    <t>Psychosocially impaired elderly often suffer from functional limitations which impede independent community living. Rehabilitation is the process in which they regain the necessary skills to re-integrate back into the community and can therefore age in place. In this work, we developed a VR psychosocial rehabilitation platform that enables users to perform daily tasks in a high-fidelity virtual environment so that their gained experiences and skills can be applied back in the real-world environment, thus helping them reintegrate back into the community. A food court scenario, a home-based scenario, and a farm scenario were developed. An initial pilot study was conducted to evaluate the feasibility of VR as a rehabilitation platform. The study shows that VR is well-received for its immersion and experience of being present in the scene, while basic knowledge on operating VR headsets and controllers is needed to use the platform. It is found that prolonged use of the VR headset will induce cybersickness.</t>
  </si>
  <si>
    <t>119–123</t>
  </si>
  <si>
    <t>ICCSE '21</t>
  </si>
  <si>
    <t>event-place: Jinan, China</t>
  </si>
  <si>
    <t>Virtual Reality; Elderly; Rehabilitation</t>
  </si>
  <si>
    <t>H22GWK42</t>
  </si>
  <si>
    <t>Irshad, Shafaq; Rambli, Dayang Rohaya Awang</t>
  </si>
  <si>
    <t>User Experience Evaluation of Mobile AR services</t>
  </si>
  <si>
    <t>Proceedings of the 12th International Conference on Advances in Mobile Computing and Multimedia</t>
  </si>
  <si>
    <t>978-1-4503-3008-4</t>
  </si>
  <si>
    <t>10.1145/2684103.2684135</t>
  </si>
  <si>
    <t>https://doi.org/10.1145/2684103.2684135</t>
  </si>
  <si>
    <t>Mobile Augmented Reality (MAR) is state-of-the-art technology that has modernized the way of accessing and interacting with information thus invoking new experiences for users all around the world. However User Experience (UX) evaluation for mobile AR is still a widely unexplored area. In order to identify the potential problems faced by the end users while using MAR applications, it is important to evaluate the UX of current Mobile AR service. This paper narrates the findings and analysis from a pilot study. We report a cross-sectional survey for evaluating the user experience of latest mobile AR applications. A framework of qualities related to user experience is applied on the acquired results to understand and articulate different aspects of UX. The outcomes show a positive attitude of users towards mobile AR services. The results help in considering key acceptance issues and potential user expectations in the development of future mobile AR services.</t>
  </si>
  <si>
    <t>119–126</t>
  </si>
  <si>
    <t>MoMM '14</t>
  </si>
  <si>
    <t>event-place: Kaohsiung, Taiwan</t>
  </si>
  <si>
    <t>Evaluation; User Experience; User Interface; Human Computer Interaction; Mobile Augmented Reality; Pilot Study; Quality Framework; Survey</t>
  </si>
  <si>
    <t>4XDJE4NB</t>
  </si>
  <si>
    <t>Kostaras, Nektarios; Xenos, Michalis</t>
  </si>
  <si>
    <t>Usability evaluation of augmented reality systems</t>
  </si>
  <si>
    <t>Int. Dec. Tech.</t>
  </si>
  <si>
    <t>1872-4981</t>
  </si>
  <si>
    <t>10.3233/IDT-2012-0130</t>
  </si>
  <si>
    <t>https://doi.org/10.3233/IDT-2012-0130</t>
  </si>
  <si>
    <t>Augmented Reality is a technological area that has met with significant growth in our times and its applications cover an ever increasing range of everyday life activities. Despite the rapid development of Augmented Reality technology, not much attention has been given to the important aspect of system's interface usability. To date, some of the methods used in the assessment of common software applications are also employed in the limited number of studies regarding the usability assessment of Augmented Reality systems. In this paper, we investigate the issue of usability evaluation of Augmented Reality systems and we discuss the use of the assessment methods currently employed for traditional applications. Furthermore, we present and discuss issues that arise from their employment in the assessment of Augmented Reality systems and possible ways to overcome these issues.</t>
  </si>
  <si>
    <t>2012-06</t>
  </si>
  <si>
    <t>139–149</t>
  </si>
  <si>
    <t>Place: NLD Publisher: IOS Press</t>
  </si>
  <si>
    <t>augmented reality; usability evaluation; usability assessment methods</t>
  </si>
  <si>
    <t>TEHIZMUD</t>
  </si>
  <si>
    <t>Somrak, Andrej; Humar, Iztok; Hossain, M. Shamim; Alhamid, Mohammed F.; Hossain, M. Anwar; Guna, Jože</t>
  </si>
  <si>
    <t>Estimating VR Sickness and user experience using different HMD technologies: An evaluation study</t>
  </si>
  <si>
    <t>Future Gener. Comput. Syst.</t>
  </si>
  <si>
    <t>0167-739X</t>
  </si>
  <si>
    <t>10.1016/j.future.2018.11.041</t>
  </si>
  <si>
    <t>https://doi.org/10.1016/j.future.2018.11.041</t>
  </si>
  <si>
    <t>2019-05</t>
  </si>
  <si>
    <t>302–316</t>
  </si>
  <si>
    <t>Place: NLD Publisher: Elsevier Science Publishers B. V.</t>
  </si>
  <si>
    <t>Virtual reality; User experience; User study; Cybersickness; VR sickness</t>
  </si>
  <si>
    <t>F74SRY5G</t>
  </si>
  <si>
    <t>Tsuei, Mengping; Chiu, Jen-I; Peng, Tsu-Wei; Chang, Yuan-Chen</t>
  </si>
  <si>
    <t>Preliminary Evaluation of the Usability of a Virtual Reality Game for Mudslide Education for Children</t>
  </si>
  <si>
    <t>Proceedings of the 25th ACM Symposium on Virtual Reality Software and Technology</t>
  </si>
  <si>
    <t>978-1-4503-7001-1</t>
  </si>
  <si>
    <t>10.1145/3359996.3364710</t>
  </si>
  <si>
    <t>https://doi.org/10.1145/3359996.3364710</t>
  </si>
  <si>
    <t>Mudslide education is important for children. In this study, a design-based research approach was used to develop an educational VR mudslide game for children. Eleven children participated in the usability evaluations. The results indicated the importance of intuitive, easy-to-learn controls. Six major refinements of the VR mudslide game were made to increase usabilities. Feedback from the participants will guide future game refinements to increase users’ engagement and interaction.</t>
  </si>
  <si>
    <t>VRST '19</t>
  </si>
  <si>
    <t>event-place: Parramatta, NSW, Australia</t>
  </si>
  <si>
    <t>V2HHTX6T</t>
  </si>
  <si>
    <t>Zaidi, Syed Fawad M.; Duthie, Craig; Carr, Eloise; Maksoud, Samah Hassan Abd El</t>
  </si>
  <si>
    <t>Conceptual framework for the usability evaluation of gamified virtual reality environment for non-gamers</t>
  </si>
  <si>
    <t>Proceedings of the 16th ACM SIGGRAPH International Conference on Virtual-Reality Continuum and Its Applications in Industry</t>
  </si>
  <si>
    <t>978-1-4503-6087-6</t>
  </si>
  <si>
    <t>10.1145/3284398.3284431</t>
  </si>
  <si>
    <t>https://doi.org/10.1145/3284398.3284431</t>
  </si>
  <si>
    <t>Loneliness has been shown to have a negative effect on both mental and physical health. Regular video game players always keep themselves busy with the games they love playing. Whereas, non-gamers are mostly involved in other physical/social activities that sustain positive impact on their lives. When it comes to not being able to keep up with these activities, loneliness starts to creep in their lives, especially when they get older. Virtual reality(VR) provides a more accessible option for people to become engaged in physical and social activities from the comfort of their homes as they get immersed into the 3D simulation. This paper proposes a usability framework for (VR) casual game development for non-gamers, that would help developers to get important game elements in pre-production phase avoiding major changes in the production phase. Moreover, when the prototype was tested for user-experience, results were positive, suggesting that the framework we proposed was successful in producing an immersive VR game prototype for our target users. The prototype helped alleviating feeling of loneliness and elevating positive mood.</t>
  </si>
  <si>
    <t>VRCAI '18</t>
  </si>
  <si>
    <t>event-place: Tokyo, Japan</t>
  </si>
  <si>
    <t>usability; virtual reality; game; loneliness; prototype; user-experience</t>
  </si>
  <si>
    <t>FDTLZCYA</t>
  </si>
  <si>
    <t>Ma, Chao; Han, Ting</t>
  </si>
  <si>
    <t>Combining Virtual Reality (VR) Technology with Physical Models – A New Way for Human-Vehicle Interaction Simulation and Usability Evaluation</t>
  </si>
  <si>
    <t>HCI in Mobility, Transport, and Automotive Systems: First International Conference, MobiTAS 2019, Held as Part of the 21st HCI International Conference, HCII 2019, Orlando, FL, USA, July 26-31, 2019, Proceedings</t>
  </si>
  <si>
    <t>978-3-030-22665-7</t>
  </si>
  <si>
    <t>10.1007/978-3-030-22666-4_11</t>
  </si>
  <si>
    <t>https://doi.org/10.1007/978-3-030-22666-4_11</t>
  </si>
  <si>
    <t>With the popularity of virtual reality technology, it has already been wide applied in the current automotive industry. However, most of these applications are aimed at the consumer market, and remain to provide the consumers with a method to have an overall experience of the vehicle visually. Based on the development of the automotive industry and the virtual reality technology, this study attempts to utilize the current popular virtual reality technology to solve the contradiction between the increasingly complex technologies applied in the automotive and the gradual shortening design and development cycle of the automotive due to market pressure. This study innovatively combines virtual reality technology and physical model, produces a virtual model in the virtual reality environment with the 1:1 size in real world, and uses the car seat, the steering wheel and the physical air-conditioning button model with 3D printing to produce the preliminary simulation test bench for human-vehicle interaction. After analyzing the completion time and the operational validity of the participants’ same interactive operations on the test bench and in the real car, the thesis preliminarily verifies the usability of the bench, and analyzes the advantages and disadvantages of it. The bench created by combining virtual reality technology and physical model can give the designers a better sense of immersion, and because of the addition of the physical model, the designers can evaluate their designs both visually and tactilely, with one more physical dimension. Besides, thanks to the advantages of virtual reality technology, the test bench of this study can achieve quick design update, provide the designers with more convenient solution comparison method, and can save a lot of time and money, which is a novel, concrete, and resource-saving design evaluation method with great application potentials.</t>
  </si>
  <si>
    <t>145–160</t>
  </si>
  <si>
    <t>event-place: Orlando, FL, USA</t>
  </si>
  <si>
    <t>Evaluation; Human-vehicle interaction; Virtual reality</t>
  </si>
  <si>
    <t>UWI6CRME</t>
  </si>
  <si>
    <t>Schaller, Meike; Schreiber, Andreas</t>
  </si>
  <si>
    <t>Visualization of Component-Based Software Architectures: A Comparative Evaluation of the Usability in Virtual Reality and 2D</t>
  </si>
  <si>
    <t>Human Interface and the Management of Information. Visual Information and Knowledge Management: Thematic Area, HIMI 2019, Held as Part of the 21st HCI International Conference, HCII 2019, Orlando, FL, USA, July 26–31, 2019, Proceedings, Part I</t>
  </si>
  <si>
    <t>978-3-030-22659-6</t>
  </si>
  <si>
    <t>10.1007/978-3-030-22660-2_14</t>
  </si>
  <si>
    <t>https://doi.org/10.1007/978-3-030-22660-2_14</t>
  </si>
  <si>
    <t>Software visualization provides a good opportunity to explore complex software architectures. But to reach a high level of usability it is important to evaluate such visualizations properly. We present the results of an usability study that we conducted to compare the visualization of component-based software architectures in both 2D and Virtual Reality (VR), based on different representations. Study participants had to conduct five interactive tasks. The results of our study shows that users are more likely able to complete the tasks in 2D than in VR, that they are more likely able to faster complete the tasks in 2D than in VR, and that they experience more satisfaction while using 2D than VR. Because evaluations of software visualization approaches are still rare, our results might help to create further study designs and offers some advice for the development of future visualizations—especially in VR.</t>
  </si>
  <si>
    <t>208–222</t>
  </si>
  <si>
    <t>Evaluation; Software visualization; Virtual reality</t>
  </si>
  <si>
    <t>TFY2IQLF</t>
  </si>
  <si>
    <t>Pettersson, Ingrid; Karlsson, MariAnne; Ghiurau, Florin Timotei</t>
  </si>
  <si>
    <t>Virtually the Same Experience? Learning from User Experience Evaluation of In-vehicle Systems in VR and in the Field</t>
  </si>
  <si>
    <t>Proceedings of the 2019 on Designing Interactive Systems Conference</t>
  </si>
  <si>
    <t>978-1-4503-5850-7</t>
  </si>
  <si>
    <t>10.1145/3322276.3322288</t>
  </si>
  <si>
    <t>https://doi.org/10.1145/3322276.3322288</t>
  </si>
  <si>
    <t>In order to investigate how a VR study context influence participants' User Experience responses of an interactive system an UX evaluation of the same in-vehicle systems was conducted in the field and in virtual reality. The virtual environment featured a virtual road scene and an interactive in-car environment, paired with a physical set-up containing a table-mounted steering wheel and a touch-sensitive panel. The VR system enabled a high estimation of presence and focus, however participants voiced less affect in the virtual setting and had difficulty in separating judgments of the VR experience from the UX of the in-vehicle systems. No significant differences in UX questionnaire data were identified between VR and the field, but there were correlations between rated presence in the VR system and UX ratings, especially for reported stimulation. Based on the lessons learned, a number of methodological and technological consequences are recommended in the paper, such as the need for more dynamic movement behaviour, improved resolution of graphics of the virtual vehicle and introducing the test leader as visually present in the virtual environment.</t>
  </si>
  <si>
    <t>463–473</t>
  </si>
  <si>
    <t>DIS '19</t>
  </si>
  <si>
    <t>event-place: San Diego, CA, USA</t>
  </si>
  <si>
    <t>virtual reality; user experience; evaluation; autonomous driving; automotive; field experiment</t>
  </si>
  <si>
    <t>JN4HRAX5</t>
  </si>
  <si>
    <t>Kotranza, Aaron; Lok, Benjamin; Deladisma, Adeline; Pugh, Carla M.; Lind, D. Scott</t>
  </si>
  <si>
    <t>Mixed Reality Humans: Evaluating Behavior, Usability, and Acceptability</t>
  </si>
  <si>
    <t>1077-2626</t>
  </si>
  <si>
    <t>10.1109/TVCG.2008.195</t>
  </si>
  <si>
    <t>https://doi.org/10.1109/TVCG.2008.195</t>
  </si>
  <si>
    <t>This paper presents Mixed Reality Humans (MRHs), a new type of embodied agent enabling touch-driven communication. Affording touch between human and agent allows MRHs to simulate interpersonal scenarios in which touch is crucial. Two studies provide initial evaluation of user behavior with a MRH patient and the usability and acceptability of a MRH patient for practice and evaluation of medical students' clinical skills. In Study I (n=8) it was observed that students treated MRHs as social actors more than students in prior interactions with virtual human patients (n=27), and used interpersonal touch to comfort and reassure the MRH patient similarly to prior interactions with human patients (n=76). In the within-subjects Study II (n=11), medical students performed a clinical breast exam on each of a MRH and human patient. Participants performed equivalent exams with the MRH and human patients, demonstrating the usability of MRHs to evaluate students' exam skills. The acceptability of the MRH patient for practicing exam skills was high as students rated the experience as believable and educationally beneficial. Acceptability was improved from Study I to Study II due to an increase in the MRH's visual realism, demonstrating that visual realism is critical for simulation of specific interpersonal scenarios.</t>
  </si>
  <si>
    <t>2009-05</t>
  </si>
  <si>
    <t>369–382</t>
  </si>
  <si>
    <t>IEEE Trans. Visual. Comput. Graphics</t>
  </si>
  <si>
    <t>Mixed Reality Humans</t>
  </si>
  <si>
    <t>Place: USA Publisher: IEEE Educational Activities Department</t>
  </si>
  <si>
    <t>Virtual reality; Intelligent agents; and virtual realities; Artificial; augmented; Life and Medical Sciences</t>
  </si>
  <si>
    <t>4DMGNYMC</t>
  </si>
  <si>
    <t>Rambli, Dayang Rohaya Awang; Irshad, Shafaq</t>
  </si>
  <si>
    <t>UX design evaluation of mobile augmented reality marketing products and services for Asia Pacific region</t>
  </si>
  <si>
    <t>Proceedings of the Asia Pacific HCI and UX Design Symposium</t>
  </si>
  <si>
    <t>978-1-4503-4041-0</t>
  </si>
  <si>
    <t>10.1145/2846439.2846450</t>
  </si>
  <si>
    <t>https://doi.org/10.1145/2846439.2846450</t>
  </si>
  <si>
    <t>User Experience (UX) is considered a subjective and universal concept which contributes to the success of any Information and Communications Technology (ICT) product or service. This paper discuss the UX evaluation method and highlights the design and development issues of current generation Mobile Augmented Reality (MAR) advertising and marketing applications. Set of heuristics were used to perform UX inspection on four unique MAR advertising campaigns. The results indicate real time design and development problems that can be improved in the future for delivering better MAR products in Asia pacific Region.</t>
  </si>
  <si>
    <t>42–45</t>
  </si>
  <si>
    <t>APCHIUX '15</t>
  </si>
  <si>
    <t>event-place: Melbourne, Victoria, Australia</t>
  </si>
  <si>
    <t>augmented reality; user experience; human computer interaction; advertising; design; marketing; mobile augmented reality</t>
  </si>
  <si>
    <t>Y45XW5H4</t>
  </si>
  <si>
    <t>Rother, Kristian; Karl, Inga; Nestler, Simon</t>
  </si>
  <si>
    <t>Towards Virtual Reality Crisis Simulation as a Tool for Usability Testing of Crisis Related Interactive Systems</t>
  </si>
  <si>
    <t>Int. J. Inf. Syst. Crisis Response Manag.</t>
  </si>
  <si>
    <t>1937-9390</t>
  </si>
  <si>
    <t>10.4018/IJISCRAM.2015070103</t>
  </si>
  <si>
    <t>https://doi.org/10.4018/IJISCRAM.2015070103</t>
  </si>
  <si>
    <t>Usability testing is expensive in some domains due to the resource requirements that go hand in hand with taking a complex context of use into account. Crisis-related research is one such domain, typically requiring the reenactment of an extensive crisis scenario. To lessen the resource requirements and provide a more flexible setup geared towards testing, crisis scenarios can be reconstructed as virtual reality simulations. This paper outlines the development of an initial prototype of such a simulation following the design science method. The prototype is used to test if injecting an item that will be tested into the simulation affects the realism of the virtual reality crisis simulation. The realism was measured in a within-subject experiment and equivalence tests showed that injecting a representation of a simple app had no significant influence on the realism of the simulation.</t>
  </si>
  <si>
    <t>2015-07</t>
  </si>
  <si>
    <t>40–54</t>
  </si>
  <si>
    <t>Place: USA Publisher: IGI Global</t>
  </si>
  <si>
    <t>Virtual Reality; Usability Testing; Crisis Management; Design Science; Interactive Systems</t>
  </si>
  <si>
    <t>3DQ5ZHA4</t>
  </si>
  <si>
    <t>Wei, Xiaoying; Jin, Xiaofu; Lin Kan, Ge; Yan, Yukang; Fan, Mingming</t>
  </si>
  <si>
    <t>Systematic Literature Review of Using Virtual Reality as a Social Platform in HCI Community</t>
  </si>
  <si>
    <t>10.1145/3711078</t>
  </si>
  <si>
    <t>https://doi.org/10.1145/3711078</t>
  </si>
  <si>
    <t>Virtual reality (VR) is increasingly used as a social platform for users to interact and build connections with one another in an immersive virtual environment. Reflecting on the empirical progress in this area of study, a comprehensive review of how VR could be used to support social interaction is required to consolidate existing practices and identify research gaps to inspire future studies. In this work, we conducted a systematic review of 94 publications in the HCI field to examine how VR is designed and evaluated for social purposes. We found that VR influences social interaction through self-representation, interpersonal interactions, and interaction environments. We summarized four positive effects of using VR for socializing, which are relaxation, engagement, intimacy, and accessibility, and showed that it could also negatively affect user social experiences by intensifying harassment experiences and amplifying privacy concerns. We introduce an evaluation framework that outlines the key aspects of social experience: intrapersonal, interpersonal, and interaction experiences. According to the results, we uncover several research gaps and propose future directions for designing and developing VR to enhance social experience.</t>
  </si>
  <si>
    <t>virtual reality; user experience; evaluation; social interaction; social VR</t>
  </si>
  <si>
    <t>53XV578L</t>
  </si>
  <si>
    <t>Sumithra, T.V.; Ragha, Leena; Desai, Rishi; Vaishya, Arpit</t>
  </si>
  <si>
    <t>Augmented reality remote assistance to enhance learning using a novel framework design</t>
  </si>
  <si>
    <t>Int. J. Technol. Enhanc. Learn.</t>
  </si>
  <si>
    <t>1753-5255</t>
  </si>
  <si>
    <t>10.1504/ijtel.2025.143510</t>
  </si>
  <si>
    <t>https://doi.org/10.1504/ijtel.2025.143510</t>
  </si>
  <si>
    <t>Technology is growing expeditiously and the demand for new innovative software and devices is encouraging to design and develop new software to cater to the needs of next-generation interactions. Traditional online meeting platforms do not support immersive AR meetings. To stimulate immersive technology of interactive applications, a software application is designed and developed for conducting a remote meeting through AR glasses and laptop or desktop computers. The aim of this paper is to introduce utility-based immersive web portal 'remote assistance' (RA) results of conducting various performance tests on the immersive web portal to validate the RA application through a novel framework to evaluate user experience in using AR web portal. The RA application is a comprehensive online meeting platform that connects the meeting participants remotely and facilitates the hands-free streaming of critical operations, screenshot sharing, annotations, loading, and interaction of the 3D models.</t>
  </si>
  <si>
    <t>2025-01</t>
  </si>
  <si>
    <t>21–44</t>
  </si>
  <si>
    <t>mixed reality; user experience design; augmented reality web portal; evaluation framework; online meeting; performance testing; remote assistance</t>
  </si>
  <si>
    <t>UF5N49XS</t>
  </si>
  <si>
    <t>Martín-Gutiérrez, Jorge; Contero, Manuel; Alcañiz, Mariano</t>
  </si>
  <si>
    <t>Evaluating the usability of an augmented reality based educational application</t>
  </si>
  <si>
    <t>Proceedings of the 10th International Conference on Intelligent Tutoring Systems - Volume Part I</t>
  </si>
  <si>
    <t>3-642-13387-8</t>
  </si>
  <si>
    <t>10.1007/978-3-642-13388-6_34</t>
  </si>
  <si>
    <t>https://doi.org/10.1007/978-3-642-13388-6_34</t>
  </si>
  <si>
    <t>Technological developments and changes mean that computer-based teaching tools rapidly become obsolete or less attractive to students. In teaching, as in other fields, there is a continual need to explore new technologies that are attractive, adapted to the personal needs of students and which motivate them to learn. Students are struck by the appearance of new technology or gadgets and they show an interest in using them. This paper analyses the potential of Augmented Reality technology in university education. An AR-based application has been developed with a view to improving spatial abilities among engineering students, thus enabling them to gain a better understanding of engineering graphics subjects. We present a student satisfaction study and an evaluation of the efficiency and efficacy of the technology applied to this field of education.</t>
  </si>
  <si>
    <t>296–306</t>
  </si>
  <si>
    <t>ITS'10</t>
  </si>
  <si>
    <t>event-place: Pittsburgh, PA</t>
  </si>
  <si>
    <t>augmented reality; engineering graphics; spatial ability; usability engineering</t>
  </si>
  <si>
    <t>BIQQUUFQ</t>
  </si>
  <si>
    <t>Ha, Taejin; Chang, Yoonje; Woo, Woontack</t>
  </si>
  <si>
    <t>Usability Test of Immersion for Augmented Reality Based Product Design</t>
  </si>
  <si>
    <t>Proceedings of the 2nd International Conference on Technologies for E-Learning and Digital Entertainment</t>
  </si>
  <si>
    <t>978-3-540-73010-1</t>
  </si>
  <si>
    <t>In this paper, we evaluate the usability of multimodal feedback for enhancing immersion in augmented reality (AR) based product design environments, introduced in the paper [1]. We study what effects occur when providing multi-sensory feedback to users. First of all, we compare design environments between conventional desktop based design environments and AR based design environments which support multimodal feedback. For a usability test for visual feedback, we test the degree of immersion for showing hands which are occluded by augmented virtual objects, and test the suitability of mapping between content and users' input. In sound feedback, also we test the degree of immersion and suitability of mapping between background-sound/effect sound mapping and corresponding events in the scenario. Lastly, as a test for tactile feedback, we evaluate the effect of the physical entity for virtual objects by registering the object to physical tangible objects, and evaluate the degree of immersion for vibration w.r.t events in scenario. Our analyzed results from usability tests and comments could be useful for enhancing immersion in conventional AR based product design as well as AR based learning and teaching contents for edutainment.</t>
  </si>
  <si>
    <t>152–161</t>
  </si>
  <si>
    <t>Edutainment'07</t>
  </si>
  <si>
    <t>augmented reality; HCI; multi-sensory feedback; product design; usability test</t>
  </si>
  <si>
    <t>SGSVIBSP</t>
  </si>
  <si>
    <t>Morozova, Alyona; Rheinstädter, Verena; Wallach, Dieter</t>
  </si>
  <si>
    <t>MixedUX: A Mixed Prototyping Framework for Usability Testing in Augmented Reality</t>
  </si>
  <si>
    <t>Companion Publication of the 2019 on Designing Interactive Systems Conference 2019 Companion</t>
  </si>
  <si>
    <t>978-1-4503-6270-2</t>
  </si>
  <si>
    <t>10.1145/3301019.3325146</t>
  </si>
  <si>
    <t>https://doi.org/10.1145/3301019.3325146</t>
  </si>
  <si>
    <t>In this paper, we rethink and challenge conventional ways of prototyping. We present a new perspective on how usability testings of digital products may benefit from emerging augmented reality (AR) technologies. We demonstrate a conceptual prototype of an innovative framework that makes it possible to combine 3D models of complex devices, represented by holograms, with 2D user interfaces (UIs) opened in a web browser on a physical touch display. The framework aims to facilitate the processes of UI design and interactions with complex, costly, or even not-yet-existing systems. For demonstration purposes we use the Microsoft HoloLens Development Edition and a conventional touch display of a smartphone.</t>
  </si>
  <si>
    <t>41–44</t>
  </si>
  <si>
    <t>DIS '19 Companion</t>
  </si>
  <si>
    <t>augmented reality; design facilitation; hololens; mixed prototyping</t>
  </si>
  <si>
    <t>DDPMYWM3</t>
  </si>
  <si>
    <t>Liinasuo, Marja; Kuula, Timo; Goriachev, Vladimir; Helin, Kaj</t>
  </si>
  <si>
    <t>Remote Testing of an Augmented Reality System</t>
  </si>
  <si>
    <t>Proceedings of the 33rd European Conference on Cognitive Ergonomics</t>
  </si>
  <si>
    <t>978-1-4503-9808-4</t>
  </si>
  <si>
    <t>10.1145/3552327.3552337</t>
  </si>
  <si>
    <t>https://doi.org/10.1145/3552327.3552337</t>
  </si>
  <si>
    <t>Remote test settings have become more common due to COVID-19. Our paper presents two user tests focusing on the usability and user experience of an augmented reality-based solution, i.e., augmented reality system. We describe the proceeding of the tests from the perspective of what party has participated in the test in the same location as the test participant, i.e., locally, and what party remotely. The importance - or unimportance - of physical presence is contemplated from the perspective of the successfulness of the test. The physical presence of a person providing technical support to the test participant during the testing proved vital for the augmented reality related testing; the location of other test organisers appears more indifferent in this context.</t>
  </si>
  <si>
    <t>ECCE '22</t>
  </si>
  <si>
    <t>event-place: Kaiserslautern, Germany</t>
  </si>
  <si>
    <t>Usability; Augmented reality; User experience; Testing methodology</t>
  </si>
  <si>
    <t>4QUBF86F</t>
  </si>
  <si>
    <t>Leppich, Dominick; Harms, Patrick</t>
  </si>
  <si>
    <t>Automated Usability Smell Detection in VR Application with AutoQUEST</t>
  </si>
  <si>
    <t>Companion of the 2022 ACM SIGCHI Symposium on Engineering Interactive Computing Systems</t>
  </si>
  <si>
    <t>978-1-4503-9031-6</t>
  </si>
  <si>
    <t>10.1145/3531706.3536449</t>
  </si>
  <si>
    <t>https://doi.org/10.1145/3531706.3536449</t>
  </si>
  <si>
    <t>The quality of software products is not only measured by their set of functionality and features, the User Experience (UX) and the quality of the applications’ User Interface (UI) gets more and more important. In order to measure and improve the usability of UIs, it is often required to perform user tests with potential future users. Performing these user tests, taking notes meanwhile and analyzing all the collected data to derive some meaningful results can be a time-consuming task. An automated approach to evaluate the usability of UIs may save time and help to improve the UX. In this tutorial, we present AutoQUEST, a set of tools to automatically record user interaction data and perform automated usability evaluation. The evaluation is done by detecting common interaction structures and assessing them with respect to patterns representing known UX issues. We will demonstrate this usability evaluation technique on an existing study of a Virtual Reality (VR) application of our own.</t>
  </si>
  <si>
    <t>59–60</t>
  </si>
  <si>
    <t>EICS '22 Companion</t>
  </si>
  <si>
    <t>event-place: Sophia Antipolis, France</t>
  </si>
  <si>
    <t>virtual reality; Usability engineering; Automation; Virtual reality; User interfaces; Users' experiences; User experience; Application programs; automated usability evaluation; Automated usability evaluation; Quality of softwares; Software products; Task tree; task tree generation; Task tree generation; Time-consuming tasks; Tree generation; usability smell detection; Usability smell detection; User tests</t>
  </si>
  <si>
    <t>EICS 2022 - Companion of the 2022 ACM SIGCHI Symposium on Engineering Interactive Computing Systems</t>
  </si>
  <si>
    <t>SH7AAM4T</t>
  </si>
  <si>
    <t>Constantinides, Nicolas; Constantinides, Argyris; Koukopoulos, Dimitrios; Fidas, Christos; Belk, Marios</t>
  </si>
  <si>
    <t>CulturAI: Exploring Mixed Reality Art Exhibitions with Large Language Models for Personalized Immersive Experiences</t>
  </si>
  <si>
    <t>Adjunct Proceedings of the 32nd ACM Conference on User Modeling, Adaptation and Personalization</t>
  </si>
  <si>
    <t>979-8-4007-0466-6</t>
  </si>
  <si>
    <t>10.1145/3631700.3664874</t>
  </si>
  <si>
    <t>https://doi.org/10.1145/3631700.3664874</t>
  </si>
  <si>
    <t>Mixed Reality (MR) technologies have transformed the way in which we interact and engage with digital content, offering immersive experiences that blend the physical and virtual worlds. Over the past years, there has been increasing interest in employing Artificial Intelligence (AI) technologies to improve user experience and trustworthiness in cultural contexts. However, the integration of Large Language Models (LLMs) into MR applications within the Cultural Heritage (CH) domain is relatively underexplored. In this work, we present an investigation into the integration of LLMs within MR environments, focusing on the context of virtual art exhibitions. We implemented a HoloLens MR application, which enables users to explore artworks while interacting with an LLM through voice. To evaluate the user experience and perceived trustworthiness of individuals engaging with an LLM-based virtual art guide, we adopted a between-subject study design, in which participants were randomly assigned to either the LLM-based version or a control group using conventional interaction methods. The LLM-based version allows users to pose inquiries about the artwork displayed, ranging from details about the creator to information about the artwork’s origin and historical significance. This paper presents the technical aspects of integrating LLMs within MR applications and evaluates the user experience and perceived trustworthiness of this approach in enhancing the exploration of virtual art exhibitions. Results of an initial evaluation provide evidence about the positive aspect of integrating LLMs in MR applications. Findings of this work contribute to the advancement of MR technologies for the development of future interactive personalized art experiences.</t>
  </si>
  <si>
    <t>102–105</t>
  </si>
  <si>
    <t>UMAP Adjunct '24</t>
  </si>
  <si>
    <t>event-place: Cagliari, Italy</t>
  </si>
  <si>
    <t>Mixed Reality; User Study; User Experience Evaluation; Large Language Models</t>
  </si>
  <si>
    <t>XYVJ5GV5</t>
  </si>
  <si>
    <t>Seffah, Ahmed; Benn, Jonathan; Mammar, Halima Habieb</t>
  </si>
  <si>
    <t>A low-cost test environment for usability studies of head-mounted virtual reality systems</t>
  </si>
  <si>
    <t>J. Usability Studies</t>
  </si>
  <si>
    <t>There is a need to develop new usability testing environments and methodologies for unconventional interactive systems. Pursuant to that need, we developed a low-cost test environment for a Head-Mounted Display (HMD)-based, virtual reality system called Osmose. Osmose was difficult to test for many reasons, one of which was its style of interaction. We began setting up the testing environment about two weeks before the start of the usability testing. We learned many lessons throughout the experience. This paper summarizes the study findings, both methodological – how to setup and conduct a usability lab for such an environment – as well as conceptual –the human experiences and behavioral patterns involved in using an immersive environment.</t>
  </si>
  <si>
    <t>2008-02</t>
  </si>
  <si>
    <t>60–73</t>
  </si>
  <si>
    <t>Place: Bloomingdale, IL Publisher: Usability Professionals' Association</t>
  </si>
  <si>
    <t>virtual reality; usability testing; breathing interaction; head-mounted display; immersive systems; sensing-based interaction</t>
  </si>
  <si>
    <t>NGEREU35</t>
  </si>
  <si>
    <t>Marsh, Tim</t>
  </si>
  <si>
    <t>Evaluation of virtual reality systems for usability</t>
  </si>
  <si>
    <t>CHI '99 Extended Abstracts on Human Factors in Computing Systems</t>
  </si>
  <si>
    <t>1-58113-158-5</t>
  </si>
  <si>
    <t>10.1145/632716.632756</t>
  </si>
  <si>
    <t>https://doi.org/10.1145/632716.632756</t>
  </si>
  <si>
    <t>The adoption of 3D virtual interfaces is becoming more widespread. Although design guidelines and usability evaluation methods exist for the conventional 2 dimensional Graphical User Interface (GUI), they may or may not however, be appropriate in the design and the evaluation of 3 dimensional virtual interfaces. This paper describes the on-going research to find appropriate ways to evaluate virtual reality (VR) systems for usability.</t>
  </si>
  <si>
    <t>61–62</t>
  </si>
  <si>
    <t>CHI EA '99</t>
  </si>
  <si>
    <t>event-place: Pittsburgh, Pennsylvania</t>
  </si>
  <si>
    <t>usability; virtual reality; evaluation; 3D virtual interface</t>
  </si>
  <si>
    <t>PPQ47G4I</t>
  </si>
  <si>
    <t>Baldeón, Johan; Auccapuri, Darwin; Díaz, Emilio; Masuda, Andrés; Gálvez, Rodolfo</t>
  </si>
  <si>
    <t>HCI International 2024 – Late Breaking Papers: 26th International Conference on Human-Computer Interaction, HCII 2024, Washington, DC, USA, June 29 – July 4, 2024, Proceedings, Part V</t>
  </si>
  <si>
    <t>978-3-031-76814-9</t>
  </si>
  <si>
    <t>10.1007/978-3-031-76815-6_16</t>
  </si>
  <si>
    <t>https://doi.org/10.1007/978-3-031-76815-6_16</t>
  </si>
  <si>
    <t>This work explores the potential of Augmented Reality (AR) to boost the sustainability of tourist experiences in the Peruvian Amazon, leveraging a comprehensive UX evaluation of the “Pacaya Samiria” AR platform. Motivated by the increasing role of technology in tourism, we delve into the multifaceted impact of AR on visitor behavior and environmental stewardship. The meticulously designed “Pacaya Samiria” AR platform immerses visitors in the Amazon’s biodiversity and cultural heritage while promoting eco-awareness. Employing advanced methodologies and UX expertise, we conducted a rigorous evaluation using focus groups and the User Experience Questionnaire (UEQ). This allowed us to assess the platform’s strengths (immersion, education), weaknesses (technical challenges, cultural relevance), and overall impact on visitor perceptions and behaviors. Key findings highlight the crucial role of context-sensitive design and content curation for effective AR implementation in remote ecotourism settings. While “Pacaya Samiria" demonstrates promise, opportunities for optimization exist, particularly in addressing technical limitations and enhancing cultural integration. This research contributes to Sustainable HCI by offering actionable insights into how AR can support environmental conservation and enrich visitor experiences in ecotourism destinations. By unveiling the intricate dynamics of UX in the Amazon, we inform future initiatives harnessing technology for global sustainable tourism development.</t>
  </si>
  <si>
    <t>223–241</t>
  </si>
  <si>
    <t>augmented reality; User experience; Amazon jungle; cultural sensitivity; focus group method; sustainable tourism; UX evaluation</t>
  </si>
  <si>
    <t>QV7UPLJ9</t>
  </si>
  <si>
    <t>Wang, Xiangyu; Dunston, Phillip S.</t>
  </si>
  <si>
    <t>Usability Evaluation of a Mixed Reality Collaborative Tool for Design Review</t>
  </si>
  <si>
    <t>Proceedings of the International Conference on Computer Graphics, Imaging and Visualisation</t>
  </si>
  <si>
    <t>0-7695-2606-3</t>
  </si>
  <si>
    <t>10.1109/CGIV.2006.87</t>
  </si>
  <si>
    <t>https://doi.org/10.1109/CGIV.2006.87</t>
  </si>
  <si>
    <t>Formal usability evaluation of Mixed Reality (MR) environments to date has received very little attention in MR literature and research. While awareness of the need for usability evaluation of MR appears to be on the rise, the techniques needed to perform efficient, meaningful usability evaluation of these environments are not yet available. This paper presents how the usability of MR system interfaces could be evaluated by using a combination of heuristic evaluation and formative user testing. This paper demonstrates by applying in assessing an MR-based collaborative virtual environment prototype for mechanical design review - Mixed Reality-based collaborative virtual environment (MRCVE). The evaluation was implemented through a devised experiment where human subjects were invited to use the MRCVE system for identifying design errors collaboratively from virtual mechanical models. Usability suggestions were also identified for the interface of future versions of MRCVE.</t>
  </si>
  <si>
    <t>448–451</t>
  </si>
  <si>
    <t>CGIV '06</t>
  </si>
  <si>
    <t>USA</t>
  </si>
  <si>
    <t>International Conference on Computer Graphics, Imaging and Visualisation (CGIV'06)</t>
  </si>
  <si>
    <t>LCS2RA9K</t>
  </si>
  <si>
    <t>Castilla, Diana; Garcia-Palacios, Azucena; BretóN-LóPez, Juana; Miralles, Ignacio; BañOs, Rosa MaríA; Etchemendy, Ernestina; Farfallini, Luis; Botella, Cristina</t>
  </si>
  <si>
    <t>Process of design and usability evaluation of a telepsychology web and virtual reality system for the elderly: Butler</t>
  </si>
  <si>
    <t>10.1016/j.ijhcs.2012.10.017</t>
  </si>
  <si>
    <t>https://doi.org/10.1016/j.ijhcs.2012.10.017</t>
  </si>
  <si>
    <t>Butler is a multi-application system based on Internet technology and virtual reality, designed to meet the needs of elderly users. Its objectives are to assist elderly populations in accessing technology and new forms of communication, replicating, as far as possible the way of lineal interaction that this population group had traditionally to interact with information in order to facilitate the first contacts with technology. Butler is equipped with e-mail, videoconferencing, blogging, access to the Internet through a well-known web search engine, image and sound gallery, new contacts searcher, and two virtual reality environments. In this paper we describe Butler's most relevant features taking into account the usability design process and the usability evaluation of the system, which, after pilot testing, have proven to be highly acceptable and satisfactory to users. We also present the results of evaluations pertaining to the iconography used in the program, the navigation and users' help design process, and the first functional prototype, all of which were designed and redesigned with the aid of web heuristics and guidelines for the web design for elderly users. Results suggest important features to be taken into account when designing and developing this sort of application for the elderly.</t>
  </si>
  <si>
    <t>2013-03</t>
  </si>
  <si>
    <t>350–362</t>
  </si>
  <si>
    <t>Usability; Virtual reality; Elderly; Digital divide; Social network; Social networking service</t>
  </si>
  <si>
    <t>5MDIS4D4</t>
  </si>
  <si>
    <t>Forte, Juan Luis Berenguel; Vela, Francisco Luis Gutiérrez; Rodríguez, Patricia Paderewski</t>
  </si>
  <si>
    <t>User experience problems in immersive virtual environments</t>
  </si>
  <si>
    <t>Proceedings of the XX International Conference on Human Computer Interaction</t>
  </si>
  <si>
    <t>978-1-4503-7176-6</t>
  </si>
  <si>
    <t>10.1145/3335595.3336288</t>
  </si>
  <si>
    <t>https://doi.org/10.1145/3335595.3336288</t>
  </si>
  <si>
    <t>In recent years there has been a great boom in the use of immersive virtual environments applications, but research into interaction techniques for these technologies has not had the same growth. Therefore, it is necessary to study the user experience of the different forms of interaction that these technologies offer to users and give developers the information needed to use the techniques that best suit their applications and their users. This work is an exploratory study to detect the problems that the users find in this kind of applications. We aim to make an evaluation of a determined set of interaction techniques, both in virtual and augmented reality, attending to the problems produced in the users to know the strengths and weaknesses of each type of interaction technique. With this study, we will be able to make a guide for the developers, in order to give them clues about the best interaction technique for their applications.</t>
  </si>
  <si>
    <t>Interacción '19</t>
  </si>
  <si>
    <t>event-place: Donostia, Gipuzkoa, Spain</t>
  </si>
  <si>
    <t>usability; virtual reality; augmented reality; user experience; evaluation; immersive virtual environments; interaction techniques</t>
  </si>
  <si>
    <t>4UNUJX9M</t>
  </si>
  <si>
    <t>Hily, Anaëlle; Dupont, Laurent; Arbelaez-Garces, Giovanny; Camargo, Mauricio; Dinet, Jérôme</t>
  </si>
  <si>
    <t>Evaluation and Validation Process of Extended Reality Applications Developed in an Industrial Context: A Systematic Review</t>
  </si>
  <si>
    <t>SN Comput. Sci.</t>
  </si>
  <si>
    <t>10.1007/s42979-023-02089-1</t>
  </si>
  <si>
    <t>https://doi.org/10.1007/s42979-023-02089-1</t>
  </si>
  <si>
    <t>Extended reality (XR) technologies are achieving greater diffusion thanks to the recent digital breakthroughs enabling users to interact and accomplish tasks within immersive environments (IEs). Applications are notably diversifying toward the industrial field, where the use of XR technologies is at the core of the transition toward Industry 4.0. However, despite their high potential, it seems the use of XR is not yet widespread in the industry. Because of the amount of effort and time required to develop a new immersive environment (IE), evaluating its relevance and effectiveness appears to be a paramount factor for a wider adoption of these technologies in the industry. Previous works have already investigated the roots of this slow adoption, but to the best of our knowledge none of them give a detailed overview of the specific and decisive stage of the evaluation of new IEs before a possible implementation. Through a detailed study of 101 scientific papers published between 2000 and early 2021, this work therefore intends to provide an overview of existing studies involving XR experience design, evaluation approaches, and materials to help identify the areas that could require more targeted research to improve the adoption of immersive technologies in the industry. To do so, we propose an analytical framework combining key factors to assess user-centered evaluation and perform a systematic literature review to establish the current status of these factors. Results show the variety of assessment methods used and the emergence of new physiological technologies over recent years. Constraints related to the user-centered evaluation methodology are also identified and discussed.</t>
  </si>
  <si>
    <t>2023-08</t>
  </si>
  <si>
    <t>Place: Berlin, Heidelberg Publisher: Springer-Verlag</t>
  </si>
  <si>
    <t>Systematic literature review; User experience; Extended Reality (XR); User-centered evaluation</t>
  </si>
  <si>
    <t>RDEDUKBI</t>
  </si>
  <si>
    <t>Lunding, Rasmus Skovhus; Feuchtner, Tiare; Grønbæk, Kaj</t>
  </si>
  <si>
    <t>Investigating AR Assistance for Human-Robot Collaboration in Mould Assembly "in the Wild"</t>
  </si>
  <si>
    <t>Proceedings of the 2025 ACM/IEEE International Conference on Human-Robot Interaction</t>
  </si>
  <si>
    <t>Augmented reality shows great promise for supporting human-robot collaboration. However, investigating this ”in the wild” with participants from industry is mostly uncharted territory. Addressing this, we report on a field study evaluation of ARTHUR, an open-source authoring tool for augmented reality-assisted human-robot collaboration. To facilitate this domain-specific study, we extended ARTHUR with additional design components, improved the authoring experience, and support for collaborative authoring. The study took place at a local company, with 16 participants from three stakeholder groups: robot engineers, UX designers, and operators. The task was to assemble and disassemble a subset of an injection mould together with a collaborative robot, while supported by an AR-interface created in ARTHUR. The study revealed a strong desire of operators to be assisted in their daily tasks by robot(s) that serve as an extra (strong) set of hands, and augmented reality to guide the process and communicate robot intent. Engineers confirmed the feasibility of integrating ARTHUR in future semi-automated workflows and UX designers appreciated the authoring capabilities and proposed further features.</t>
  </si>
  <si>
    <t>540–549</t>
  </si>
  <si>
    <t>HRI '25</t>
  </si>
  <si>
    <t>Melbourne, Australia</t>
  </si>
  <si>
    <t>augmented reality; human-robot interaction; user study; authoring; human-robot collaboration</t>
  </si>
  <si>
    <t>JKWM2LDR</t>
  </si>
  <si>
    <t>Kokkalas, Alexandros; Patenidis, Athanasios T.; Stathopoulos, Evangelos A.; Mitsopoulou, Eirini E.; Diplaris, Sotiris; Papadopoulos, Konstadinos; Vrochidis, Stefanos; Votis, Konstantinos; Tzovaras, Dimitrios; Kompatsiaris, Ioannis</t>
  </si>
  <si>
    <t>E-Tracer: A Smart, Personalized and&amp;nbsp;Immersive Digital Tourist Software System</t>
  </si>
  <si>
    <t>Information Integration and Web Intelligence: 24th International Conference, IiWAS 2022, Virtual Event, November 28–30, 2022, Proceedings</t>
  </si>
  <si>
    <t>978-3-031-21046-4</t>
  </si>
  <si>
    <t>10.1007/978-3-031-21047-1_53</t>
  </si>
  <si>
    <t>https://doi.org/10.1007/978-3-031-21047-1_53</t>
  </si>
  <si>
    <t>This paper describes a system that discovers and semantically unifies information from multiple sources, allowing the end user to organize and implement integrated tourist itineraries and tours by utilizing innovative spatio-temporal interconnection technologies of multiple spaces and events of environmental, cultural, and tourist interest. Moreover a user evaluation from the pilot tests is included in the study.</t>
  </si>
  <si>
    <t>581–587</t>
  </si>
  <si>
    <t>Augmented reality; User experience; Semantics; Personalized route recommendation system; Reasoning; User evaluation</t>
  </si>
  <si>
    <t>JJWLC5UA</t>
  </si>
  <si>
    <t>Subramanian, Thirumanikandan; Schlichtherle, Fabian; Remlinger, Wolfram</t>
  </si>
  <si>
    <t>Mixed Reality Tool to simulate and evaluate user interactions in the Interior of automated vehicles</t>
  </si>
  <si>
    <t>Adjunct Proceedings of the 15th International Conference on Automotive User Interfaces and Interactive Vehicular Applications</t>
  </si>
  <si>
    <t>979-8-4007-0112-2</t>
  </si>
  <si>
    <t>10.1145/3581961.3609847</t>
  </si>
  <si>
    <t>https://doi.org/10.1145/3581961.3609847</t>
  </si>
  <si>
    <t>Future mobility development is user-centric, integrating user feedback into the early phase of development is essential. The Mixed Reality Tool is a novel approach to automotive interior visualization and evaluation using green screens and mixed reality glasses. Utilizing a four-sided green screen arrangement in a studio setup, realistic automotive interiors are visualized, allowing for various evaluations and user interactions by immersing the real individuals into a virtual environment. Two examples are explored: (1) Showcasing the interior of a shared automated vehicle (SAV) and overlaying a real person using Chroma keying. (2) Simulating an automated car interior to analyze the possible transitions and time involved in various Non-Driving Related Activities (NDRA) carried out by real individuals. This innovative approach offers numerous advantages over traditional VR glasses, including improved immersion, realistic integration of real elements, and the ability to conduct evaluations with human presence for enhanced user experience and design optimization.</t>
  </si>
  <si>
    <t>304–306</t>
  </si>
  <si>
    <t>AutomotiveUI '23 Adjunct</t>
  </si>
  <si>
    <t>event-place: Ingolstadt, Germany</t>
  </si>
  <si>
    <t>Automation; User interfaces; Users' experiences; Automated vehicles; Mixed reality; Innovative approaches; User feedback; Automotive interiors; Car interiors; Chroma keying; Glass; User interaction; User-centric</t>
  </si>
  <si>
    <t>B47W25ZB</t>
  </si>
  <si>
    <t>Wang, Lei; Lv, Meiyu</t>
  </si>
  <si>
    <t>Study on Assessing User Experience of Augmented Reality Applications</t>
  </si>
  <si>
    <t>Virtual, Augmented and Mixed Reality. Design and Interaction: 12th International Conference, VAMR 2020, Held as Part of the 22nd HCI International Conference, HCII 2020, Copenhagen, Denmark, July 19–24, 2020, Proceedings, Part I</t>
  </si>
  <si>
    <t>978-3-030-49694-4</t>
  </si>
  <si>
    <t>10.1007/978-3-030-49695-1_14</t>
  </si>
  <si>
    <t>https://doi.org/10.1007/978-3-030-49695-1_14</t>
  </si>
  <si>
    <t>With the development of the augmented reality technology and the popularisation of smartphones, the application of augmented reality based on mobile devices demonstrates an optimistic development prospect. The current development of mobile augmented reality is mainly technology-oriented, mostly emphasises on technology advancement as a basis of measure while placing insufficient emphasis upon user experience. User-centric design is increasingly important in the design of mobile applications. As it is crucial to quantify and evaluate user experiences of AR application to gain insight in pivotal areas for future development, which this research proposes that the application of the Delphi-AHP method is capable of identifying those areas via five first-level indicators and 20 second-level indicators. This method is tested and verified with six model display applications, which discovered the most important first-level indicators to affect user experience is a system’s functionality and its display.</t>
  </si>
  <si>
    <t>Augmented reality; User experience; Evaluation method</t>
  </si>
  <si>
    <t>7BZUQX9Y</t>
  </si>
  <si>
    <t>Karre, Sai Anirudh; Mathur, Neeraj; Reddy, Y. Raghu</t>
  </si>
  <si>
    <t>Understanding usability evaluation setup for VR products in industry: a review study</t>
  </si>
  <si>
    <t>SIGAPP Appl. Comput. Rev.</t>
  </si>
  <si>
    <t>1559-6915</t>
  </si>
  <si>
    <t>10.1145/3381307.3381309</t>
  </si>
  <si>
    <t>https://doi.org/10.1145/3381307.3381309</t>
  </si>
  <si>
    <t>VR development practices have a diverse set of practices compared to traditional software development. Tasks like scene design, acoustic design, vergence manipulation, image depth, etc. are specific to VR apps and hence require evaluation processes that may be different from the traditional means. Usability Evaluation is one such process which is being executed in an unconventional way by Industrial Practitioners today. In this paper, the researchers detail a Systematic Literature Review of the Usability Evaluation Methods practised by Industrial researchers while building VR Products. The researchers found that VR Product teams follow unique methods to improve usability in their products. Further, the researchers consolidate these methods and provide insights into choosing the best to build a real-world VR Product based on the defined product constraints</t>
  </si>
  <si>
    <t>2020-01</t>
  </si>
  <si>
    <t>17–27</t>
  </si>
  <si>
    <t>virtual reality; usability testing; usability evaluation; industrial practices; metrics</t>
  </si>
  <si>
    <t>A4FBGCWT</t>
  </si>
  <si>
    <t>Hub, Fabian; Oehl, Michael; Hesse, Tobias; Seifert, Katharina</t>
  </si>
  <si>
    <t>Supporting user experience of shared automated mobility on-demand through novel virtual infrastructure: Making the case for virtual stops</t>
  </si>
  <si>
    <t>10.1016/j.ijhcs.2023.103043</t>
  </si>
  <si>
    <t>https://doi.org/10.1016/j.ijhcs.2023.103043</t>
  </si>
  <si>
    <t>Automation; Virtual reality; Augmented reality; Man machine systems; User interfaces; Automated driving; Human Machine Interface; Demand responsive transportation; Future mobility concept; Future mobility concepts; Human-machine interface; On demands; Shared automated mobility on-demand; Sustainable transport; Traffic infrastructure; Virtual stop; Virtual traffic infrastructure</t>
  </si>
  <si>
    <t>F9ZR8X7W</t>
  </si>
  <si>
    <t>Ni, Min; Arevalo Arboleda, Stephanie; Raake, Alexander</t>
  </si>
  <si>
    <t>Exploring Proxemics in Volumetric Video vs. Face-to-Face through Charades</t>
  </si>
  <si>
    <t>Proceedings of the Extended Abstracts of the CHI Conference on Human Factors in Computing Systems</t>
  </si>
  <si>
    <t>979-8-4007-1395-8</t>
  </si>
  <si>
    <t>10.1145/3706599.3719847</t>
  </si>
  <si>
    <t>https://doi.org/10.1145/3706599.3719847</t>
  </si>
  <si>
    <t>We aim at exploring how people navigate different interpersonal distances during a charades game and how that affects the effectiveness of charades guessing. We conducted a study (N = 54) using a split-plot design. In each trial, one participant acted as the actor, while another served as the guesser, positioned at personal, social, or public distances (between-participants factor) from their partner. The study featured two conditions: face-to-face (F2F) and augmented reality (AR) (within-participant factor), with participants wearing an Oculus Quest 3 to view the volumetric video of their game partner in the AR condition. Our results show that participants tend to remain within personal and social distances, with a more exploratory movement when watching the volumetric video of their partner. Also, participants tended to move towards the social distance when starting at the public distance. Finally, guessing effectiveness was higher in the F2F condition and at the social distance.</t>
  </si>
  <si>
    <t>CHI EA '25</t>
  </si>
  <si>
    <t>Augmented Reality; Usability Testing; Charades; Proxemics; Volumetric Video</t>
  </si>
  <si>
    <t>CST7PZNR</t>
  </si>
  <si>
    <t>Usability evaluation of VR products in industry: a systematic literature review</t>
  </si>
  <si>
    <t>Proceedings of the 34th ACM/SIGAPP Symposium on Applied Computing</t>
  </si>
  <si>
    <t>978-1-4503-5933-7</t>
  </si>
  <si>
    <t>10.1145/3297280.3297462</t>
  </si>
  <si>
    <t>https://doi.org/10.1145/3297280.3297462</t>
  </si>
  <si>
    <t>VR development practices have a diverse set of practices compared to traditional software development. Tasks like scene design, acoustic design, vergence manipulation, image depth, etc. are specific to VR apps and hence require evaluation processes that may be different from the traditional means. Usability Evaluation is one such process which is being executed in an unconventional way by Industrial Practitioners today. In this paper, the researchers detail a Systematic Literature Review of the Usability Evaluation Methods practised by Industrial researchers while building VR Products. The researchers found that VR Product teams follow unique methods to improve usability in their products. Further, the researchers consolidate these methods and provide insights into choosing the best to build a real-world VR Product based on the defined product constraints.</t>
  </si>
  <si>
    <t>1845–1851</t>
  </si>
  <si>
    <t>SAC '19</t>
  </si>
  <si>
    <t>event-place: Limassol, Cyprus</t>
  </si>
  <si>
    <t>ID2E66RY</t>
  </si>
  <si>
    <t>Pannattee, Peerawat; Shimada, Shogo; Yem, Vibol; Nishiuchi, Nobuyuki</t>
  </si>
  <si>
    <t>A deep learning framework for automatic assessment of presence in virtual reality using multimodal behavioral cues</t>
  </si>
  <si>
    <t>Neural Comput. Appl.</t>
  </si>
  <si>
    <t>0941-0643</t>
  </si>
  <si>
    <t>10.1007/s00521-024-10943-3</t>
  </si>
  <si>
    <t>https://doi.org/10.1007/s00521-024-10943-3</t>
  </si>
  <si>
    <t>Effective development of virtual reality (VR) applications is heavily reliant on the evaluation of user experience (UX). However, traditional methods such as questionnaires have inherent limitations which hinder their ability to capture nuanced behavioral responses and impede the agility of VR content creation: They are time-consuming, burdensome for users, and require significant human effort for interpretation. This study introduces an automated framework aimed at addressing the limitations of questionnaire-based evaluations to assess UX in VR. Our primary focus is to validate the concept of this framework through assessment of the sense of presence (SOP), a crucial psychological perception with significant impact on VR UX. Our proposed framework utilizes a deep neural network (DNN) to analyze patterns in multimodal behavioral cues, including facial expressions, head movements, and hand movements, to predict scores from the Igroup Presence Questionnaire (IPQ). Additionally, we introduce two statistical profiles: the Visual Entropy Profile (VEP), which offers insights into visual complexity by depicting scene entropy, and the Experiential Presence Profile (EPP), which is designed to capture users’ historical SOP levels to enable personalized baseline and sensitivity estimation. The proposed framework achieves a significant correlation between actual and predicted IPQ scores, with a Spearman’s rank correlation coefficient of 0.7303, showcasing the potential of DNNs in analyzing complex behavioral signals and automating SOP assessment. This study represents a pioneering effort in leveraging DNNs for the automatic assessment of SOP and paves the way for future advances in automatically assessing VR UX and unlocking new opportunities in the field.</t>
  </si>
  <si>
    <t>6283–6303</t>
  </si>
  <si>
    <t>Virtual environments; Virtual reality; Virtualization; Users' experiences; Deep learning; Deep neural networks; Automatic assessment; Behavioral cues; Behavioral response; Contrastive Learning; Economic and social effects; Evaluation of users; Inherent limitations; Learning frameworks; Multi-modal; Sense of presence; Sense of presences; User experience</t>
  </si>
  <si>
    <t>67274BUM</t>
  </si>
  <si>
    <t>Berthiaume, Maxine; Kinateder, Max; Emond, Bruno; Cooper, Natalia; Obeegadoo, Ishika; Lapointe, Jean-François</t>
  </si>
  <si>
    <t>Evaluation of a virtual reality training tool for firefighters responding to transportation incidents with dangerous goods</t>
  </si>
  <si>
    <t>1360-2357</t>
  </si>
  <si>
    <t>10.1007/s10639-023-12357-5</t>
  </si>
  <si>
    <t>https://doi.org/10.1007/s10639-023-12357-5</t>
  </si>
  <si>
    <t>Access to dangerous goods training for firefighters in remote areas is limited for financial and logistical reasons. Virtual reality (VR) is a promising solution for this challenge as it is cost-effective, safe, and allows to simulate realistic scenarios that would be dangerous or difficult to implement in the real world. However, rigorous evaluations of VR training tools for first responders are still scarce. In this exploratory user study, a simple VR training tool involving two dangerous goods scenarios was developed. In each scenario, trainees learned how to safely approach a jackknifed truck with a trailer and how to collect and communicate information about the transported materials. The tool was tested with a group of 24 professional firefighter trainees (n = 22) and instructors (n = 2), who each completed the two training scenarios. The main goal of the study was to assess the usability of the VR tool in the given scenarios. Participants provided feedback on cybersickness, perceived workload, and usability. They also filled out a knowledge test before and after the VR training and gave feedback at the end of the study. The VR tool recorded task completion duration and participants’ navigation and use of tools events. Overall, the tool provided good usability, acceptance, and satisfaction. However, a wide range in individuals’ responses was observed. In addition, no post-training improvement in participants' knowledge was found, likely due to the already high level of knowledge pre-training. Future directions for improving the VR tool, general implications for other VR training tools, and suggestions for future research are discussed.</t>
  </si>
  <si>
    <t>2024-01</t>
  </si>
  <si>
    <t>14929–14967</t>
  </si>
  <si>
    <t>Usability; Virtual reality; Training; Dangerous goods; First responders; Virtual reality evaluation</t>
  </si>
  <si>
    <t>ILA4NDI5</t>
  </si>
  <si>
    <t>Rafi, Tahmid; Zhang, Xueling; Wang, Xiaoyin</t>
  </si>
  <si>
    <t>PredART: Towards Automatic Oracle Prediction of Object Placements in Augmented Reality Testing</t>
  </si>
  <si>
    <t>Proceedings of the 37th IEEE/ACM International Conference on Automated Software Engineering</t>
  </si>
  <si>
    <t>978-1-4503-9475-8</t>
  </si>
  <si>
    <t>10.1145/3551349.3561160</t>
  </si>
  <si>
    <t>https://doi.org/10.1145/3551349.3561160</t>
  </si>
  <si>
    <t>While the emerging Augmented Reality (AR) technique allows a lot of new application opportunities, from education and communication to gaming, current augmented apps often have complaints about their usability and/or user experience due to placement errors of virtual objects. Therefore, identifying noticeable placement errors is an important goal in the testing of AR apps. However, placement errors can only be perceived by human beings and may need to be confirmed by multiple users, making automatic testing very challenging. In this paper, we propose PredART, a novel approach to predict human ratings of virtual object placements that can be used as test oracles in automated AR testing. PredART is based on automatic screenshot sampling, crowd sourcing, and a hybrid neural network for image regression. The evaluation on a test set of 480 screenshots shows that our approach can achieve an accuracy of 85.0% and a mean absolute error, mean squared error, and root mean squared error of 0.047, 0.008, and 0.091, respectively.</t>
  </si>
  <si>
    <t>ASE '22</t>
  </si>
  <si>
    <t>event-place: Rochester, MI, USA</t>
  </si>
  <si>
    <t>Augmented Reality; Virtual reality; Augmented reality; Users' experiences; Object placement; Screenshots; Test oracles; Virtual objects; 'current; Errors; Automatic testing; Human being; Mean square error; Multiple user; New applications; Placement error; Placement Error; Virtual Objects</t>
  </si>
  <si>
    <t>FGLWA2JC</t>
  </si>
  <si>
    <t>Greenhalgh, C. M.</t>
  </si>
  <si>
    <t>Evaluating the network and usability characteristics of virtual reality conferencing</t>
  </si>
  <si>
    <t>BT Technology Journal</t>
  </si>
  <si>
    <t>1358-3948</t>
  </si>
  <si>
    <t>10.1023/A:1018635613702</t>
  </si>
  <si>
    <t>https://doi.org/10.1023/A:1018635613702</t>
  </si>
  <si>
    <t>This paper presents the results of the BT-funded ‘Inhabiting the Web‘ project which conducted a series of twenty virtual meetings using the MASSIVE virtual reality telecomferencing system between five universities and BT Laboratories. The aims of the project were, firstly, to assess the characteristics of the network traffic generated by MASSIVE and, therefore, by extension, the network traffic generated by other peer-to-peer unicast-based collaborative virtual environments, and, secondly, to identify key human factors issues arising from the long-term and regular use of such a system. The paper gives an overview of the MASSIVE system and the organisation of the meetings and then presents an analysis of its results. The network analysis involves a statistical analysis of system logs in order to build a profile of typical user behaviour. This profile indicates how much users might be expected to engage in basic actions such as moving and speaking during a typical meeting and also to what extent these actions might be correlated among users. When combined with an understanding of MASSIVE‘s network protocols, this leads to a model to predict the network traffic generated by varying numbers of users. It also suggests new design possibilities such as ‘group portals‘, caching of worlds and the use of multicast protocols. Usability reflections address the issues of embodiment, navigation and use of the spatial model of interaction as implemented in MASSIVE. New design possibilities are identified including higher level support for gestures on embodiments and so-called object-centred and context-sensitive styles of navigation.</t>
  </si>
  <si>
    <t>1997-10</t>
  </si>
  <si>
    <t>101–119</t>
  </si>
  <si>
    <t>6ZCCBRGX</t>
  </si>
  <si>
    <t>Herrera, V.; Albusac, J.; Castro-Schez, J. J.; González-Morcillo, C.; Monekosso, D. N.; Pacheco, S.; Perales, R.; de los Reyes-Guzmán, A.</t>
  </si>
  <si>
    <t>Creating adapted environments: enhancing accessibility in virtual reality for upper limb rehabilitation through automated element adjustment</t>
  </si>
  <si>
    <t>Virtual Real.</t>
  </si>
  <si>
    <t>1359-4338</t>
  </si>
  <si>
    <t>10.1007/s10055-024-01078-w</t>
  </si>
  <si>
    <t>https://doi.org/10.1007/s10055-024-01078-w</t>
  </si>
  <si>
    <t>In the last decade, Virtual Reality (VR) has emerged as a promising tool for upper limb rehabilitation, effectively complementing conventional therapies. However, one of the main challenges lies in designing virtual environments that adapt to the specific needs of each patient, considering their unique motor limitations. An inadequately adapted environment can result in overexertion and the inability to perform exercises, negatively affecting both the patient’s motivation and their recovery. This article hypothesizes that automatic calibration and dynamic object adjustment algorithms in virtual reality environments improve accessibility and efficiency in upper limb rehabilitation exercises for patients with SCI. For this purpose, we present an innovative calibration method that individually identifies and maps motor limitations on the left and right sides of the body. As a result, an irregular volume, formed by the interconnection of three elliptical shapes, is generated that envelops the patient and represents their safe range of movements. Furthermore, a second method is introduced that automatically readjusts the location of objects within the virtual environment to the safe space generated, optimizing the patient’s accessibility and interaction with therapy elements. To test the results, an immersive VR environment was designed in which the aforementioned methods were applied for the automatic placement of virtual elements in the peripersonal space (PPS) of the participants. Testing has been carried out at the Hospital Nacional de Parapléjicos in Toledo (HNPT) with patients suffering from spinal cord injuries (SCI) and healthy participants who are SCI specialists. The quantitative results obtained demonstrate that this dynamic adjustment of the environment allows for adaptation that leads to a 100% success rate in task completion after the automatic adjustment, compared to a 62.5% success rate when using a configuration with virtual elements adapted to the motor capabilities of a healthy person (for both healthy participants and patients). This adjustment not only facilitates a greater number of exercise repetitions, but also reduces the time needed to access each object, with an average reduction in time of 47.94% across the entire sample. This reduction is even more significant when considering only the group of SCI patients, with a reduction of 53.78%. Additionally, the qualitative evaluation complements the study with a perception of ease of use for the calibration (mean = 1.29 ± 0.46) and low complexity in accessing the interactive objects after the automatic adjustment (mean = 1.12 ± 0.45). These results demonstrate the effectiveness of the proposed algorithms and the improved user experience.</t>
  </si>
  <si>
    <t>Virtual environments; Serious games; Virtual reality; Virtual-reality environment; Accessibility; Adaptation; Arthroplasty; Neuromuscular rehabilitation; % reductions; Automatic adjustment; Automatic calibration; Dynamic objects; Electrotherapeutics; Spinal cord injury; Upper-limb rehabilitation; Virtual elements</t>
  </si>
  <si>
    <t>82N7NVVV</t>
  </si>
  <si>
    <t>Botella, Federico; Peñalver, Antonio; Borrás, Fernando</t>
  </si>
  <si>
    <t>Evaluating the usability and acceptance of an AR app in learning Chemistry for Secondary Education</t>
  </si>
  <si>
    <t>Proceedings of the XIX International Conference on Human Computer Interaction</t>
  </si>
  <si>
    <t>978-1-4503-6491-1</t>
  </si>
  <si>
    <t>10.1145/3233824.3233838</t>
  </si>
  <si>
    <t>https://doi.org/10.1145/3233824.3233838</t>
  </si>
  <si>
    <t>Teaching concepts that require the manipulation or visualization of objects that are not available to everyone because of their abstract, scientific or spatial nature present some limitations. Augmented reality and mobile devices are tools available today that allow solving these shortcomings and offer the possibility of interacting with virtual objects in a three-dimensional space. In this paper, we present an author tool for teaching Chemistry in Secondary Education, using augmented reality and then we provide the results of the evaluation of usability that we conducted with 12 high school students in order to evaluate the usability and user experience of the developed app. We have found in this study that, surprisingly, it seems that users of iOS mobiles are better to manipulate AR objects in 3D using the Android mobile we used in this experiment.</t>
  </si>
  <si>
    <t>Interacción '18</t>
  </si>
  <si>
    <t>event-place: Palma, Spain</t>
  </si>
  <si>
    <t>Augmented Reality; Usability evaluation; mobile app; HCI; mobile devices; SUS</t>
  </si>
  <si>
    <t>FMP3FK3F</t>
  </si>
  <si>
    <t>Andronas, Dionisis; Kampourakis, Emmanouil; Papadopoulos, Giorgos; Bakopoulou, Katerina; Kotsaris, Panagiotis Stylianos; Michalos, George; Makris, Sotiris</t>
  </si>
  <si>
    <t>Towards seamless collaboration of humans and high-payload robots: An automotive case study</t>
  </si>
  <si>
    <t>0736-5845</t>
  </si>
  <si>
    <t>10.1016/j.rcim.2023.102544</t>
  </si>
  <si>
    <t>https://doi.org/10.1016/j.rcim.2023.102544</t>
  </si>
  <si>
    <t>2023-10</t>
  </si>
  <si>
    <t>Augmented reality; Human robot interaction; Human-robot collaboration; Personnel training; Man machine systems; Case-studies; Design; Ergonomics; Automotives; Human computer interaction; Interaction; Collaborative robots; Human operator; Human robot collaboration; Hybrid automation; Hybrid systems; Industrial requirements; Large-sized; Machine design; Product assembly; Safety</t>
  </si>
  <si>
    <t>PX5YBCV8</t>
  </si>
  <si>
    <t>Ochs, Magalie; Bousquet, Jeremie; Blache, Philippe</t>
  </si>
  <si>
    <t>Multimodal Cues of the Sense of Presence and Co-presence in Human-Virtual Agent Interaction</t>
  </si>
  <si>
    <t>Proceedings of the 19th ACM International Conference on Intelligent Virtual Agents</t>
  </si>
  <si>
    <t>978-1-4503-6672-4</t>
  </si>
  <si>
    <t>10.1145/3308532.3329438</t>
  </si>
  <si>
    <t>https://doi.org/10.1145/3308532.3329438</t>
  </si>
  <si>
    <t>A key challenge when studying human-agent interaction is the evaluation of user's experience. In virtual reality, this question is addressed by studying the sense of "presence” and"co-presence”, generally assessed thanks to well-grounded subjective post-experience questionnaires. In this article, we aim at exploring behavioral measures of presence and co-presence by analyzing multimodal cues produced during an interaction both by the user and the virtual agent. In our study, we started from a corpus of human-agent interaction collected in a task-oriented context: a virtual environment aiming at training doctors to break bad news to a patient (played by a virtual agent). Based on this corpus, we have used machine learning algorithms to explore the possibility of predicting user's sense of presence and co-presence. In particular, we have applied and compared two techniques, Random forest and SVM, both showing very good results in predicting the level of presence and co-presence.</t>
  </si>
  <si>
    <t>218–220</t>
  </si>
  <si>
    <t>IVA '19</t>
  </si>
  <si>
    <t>event-place: Paris, France</t>
  </si>
  <si>
    <t>virtual reality; Virtual Reality; Virtual reality; Learning algorithms; Evaluation of users; Multi-modal; Sense of presences; Surveys; virtual patient; Presence; Machine learning; Intelligent virtual agents; Behavioral measures; Co-presence; Decision trees; Human agent interactions; Multimodal behavior; Virtual patient; Virtual patients; co-presence; multimodal behavior; presence</t>
  </si>
  <si>
    <t>ZF82HSQR</t>
  </si>
  <si>
    <t>Afyouni, Imad; Lataifeh, Mohammed; Afrah, Zulaiha; Ahmed, Naveed</t>
  </si>
  <si>
    <t>Usability Evaluation of Handheld and Wearable AR devices: Exploring Collaboration and the Role of Physical Props</t>
  </si>
  <si>
    <t>1877-0509</t>
  </si>
  <si>
    <t>10.1016/j.procs.2023.12.156</t>
  </si>
  <si>
    <t>https://doi.org/10.1016/j.procs.2023.12.156</t>
  </si>
  <si>
    <t>48–55</t>
  </si>
  <si>
    <t>Augmented Reality; Collaboration; Physical Props; User Interaction</t>
  </si>
  <si>
    <t>RG4KGU9J</t>
  </si>
  <si>
    <t>Wienrich, Carolin; Döllinger, Nina; Kock, Simon; Schindler, Kristina; Traupe, Ole</t>
  </si>
  <si>
    <t>Assessing User Experience in Virtual Reality – A Comparison of Different Measurements</t>
  </si>
  <si>
    <t>Design, User Experience, and Usability: Theory and Practice: 7th International Conference, DUXU 2018, Held as Part of HCI International 2018, Las Vegas, NV, USA, July 15-20, 2018, Proceedings, Part I</t>
  </si>
  <si>
    <t>978-3-319-91796-2</t>
  </si>
  <si>
    <t>10.1007/978-3-319-91797-9_41</t>
  </si>
  <si>
    <t>https://doi.org/10.1007/978-3-319-91797-9_41</t>
  </si>
  <si>
    <t>As other interactive technologies, the promising virtual reality (VR) applications and their success highly depend on the quality of the user’s experience. The present study gives first insights into relations between general and VR specific aspects of user experience by: (1) Analyzing the evaluation requirements for a large-scale multi-user use case; (2) relating evaluation concepts from the fields of (2D) user experience (UX) and (3D) VR experiences; (3) testing these relations by incorporating measurements from different research fields, and (4) discussing implications for a holistic evaluation framework. During and after experiencing a multi-user adventure on the Immersive Deck of Illusion Walk, participants rated their experience with respect to various components of general UX as well as other components specific to VR experiences. The results revealed positive correlations of presence and social presence with most of the employed post-experience UX measures. The relations between the post- and in-experience measurements showed some inconsistencies. Overall, the experience was positively appraised. The results encourage further investigations into integrating measurements from different lines of research in order to explore the evaluation space of VR experiences.</t>
  </si>
  <si>
    <t>573–589</t>
  </si>
  <si>
    <t>Virtual reality; User experience; Evaluation framework</t>
  </si>
  <si>
    <t>GWAYZGQN</t>
  </si>
  <si>
    <t>Carulli, Marina; Spadoni, Elena; Barone, Chiara; Bordegoni, Monica</t>
  </si>
  <si>
    <t>Emotion Tracking in Virtual Reality Fashion Shows</t>
  </si>
  <si>
    <t>10.1007/978-3-031-43401-3_31</t>
  </si>
  <si>
    <t>https://doi.org/10.1007/978-3-031-43401-3_31</t>
  </si>
  <si>
    <t>Virtual Reality (VR) technologies are increasingly being adopted in fashion marketing to create innovative new channels for sales, advertising, brand communication, and strengthening relationships with consumers. In addition, virtual technologies can be useful for personalizing the offer, gathering insights, and user engagement. However, there seem to be few occurrences where the potential of virtual technologies on User eXperience (UX) and engagement is explored, evaluating the advantages compared to real-life experiences. Analyzing these aspects for virtual fashion experiences can be challenging. For measuring the UX, quantitative methods such as sensors capable of recording and examining the body's responses and automatic systems used to recognize emotions by tracking facial movements and expressions have been increasingly employed. In the context of fashion marketing, they can help analyze the implications that virtual experiences have, also considering content personalization and company promotion. This paper presents the design and development of a VR application that includes emotion-tracking technology that can be used to evaluate users’ emotional reactions to virtual experiences and compare them with real ones. The final aim of the study is to increase the degree of user engagement and the quality of the virtual fashion show UX of the Italian clothing brand Bacon. Preliminary test sessions were organized to evaluate users’ emotional reactions to the virtual experience and verify their effectiveness in relation to the objectives of the study.</t>
  </si>
  <si>
    <t>471–483</t>
  </si>
  <si>
    <t>Virtual reality technology; Virtual reality; Users' experiences; User experience; Advertizing; Commerce; Emotion tracking; Emotional reactions; New channels; User engagement; User eXperience; Virtual fashion show; Virtual Fashion Show; Virtual fashions; Virtual technology</t>
  </si>
  <si>
    <t>ISBEJWTK</t>
  </si>
  <si>
    <t>Dickinson, Patrick; Gerling, Kathrin; Hicks, Kieran; Murray, John; Shearer, John; Greenwood, Jacob</t>
  </si>
  <si>
    <t>Virtual reality crowd simulation: effects of agent density on user experience and behaviour</t>
  </si>
  <si>
    <t>10.1007/s10055-018-0365-0</t>
  </si>
  <si>
    <t>https://doi.org/10.1007/s10055-018-0365-0</t>
  </si>
  <si>
    <t>Agent-based crowd simulations are used for modelling building and space usage, allowing designers to explore hypothetical real-world scenarios, including extraordinary events such as evacuations. Existing work which engages virtual reality (VR) as a platform for crowd simulations has been primarily focussed on the validation of simulation models through observation; the use of interactions such as gaze to enhance a sense of immersion; or studies of proxemics. In this work, we extend previous studies of proxemics and examine the effects of varying crowd density on user experience and behaviour. We have created a simulation in which participants walk freely and perform a routine manual task, whilst interacting with agents controlled by a typical social force simulation model. We examine and report the effects of crowd density on both affective state and behaviour. Our results show a significant increase in negative affect with density, measured using a self-report scale. We further show significant differences in some aspects of user behaviours, using video analysis, and discuss how our results relate to VR simulation design for mixed human–agent scenarios.</t>
  </si>
  <si>
    <t>2019-03</t>
  </si>
  <si>
    <t>19–32</t>
  </si>
  <si>
    <t>Affective state; Agent density; Behavioral research; Crowd simulation; Crowd Simulation; Human computer interaction; Negative affects; Real-world scenario; Simulation model; User behaviour; User experience; Video analysis; Virtual reality</t>
  </si>
  <si>
    <t>5XGN2MX5</t>
  </si>
  <si>
    <t>Kim, Ted; Choi, Young-Mi</t>
  </si>
  <si>
    <t>A Comparison of Laboratory and Synchronous Remote Usability Testing Methods Using AR</t>
  </si>
  <si>
    <t>Human-Computer Interaction. Theoretical Approaches and Design Methods: Thematic Area, HCI 2022, Held as Part of the 24th HCI International Conference, HCII 2022, Virtual Event, June 26–July 1, 2022, Proceedings, Part I</t>
  </si>
  <si>
    <t>978-3-031-05310-8</t>
  </si>
  <si>
    <t>10.1007/978-3-031-05311-5_17</t>
  </si>
  <si>
    <t>https://doi.org/10.1007/978-3-031-05311-5_17</t>
  </si>
  <si>
    <t>Structured AR usability testing in the product development phase enables obtaining early user feedback, allowing companies to focus on UX from the early design phase. Therefore, several studies of usability testing using AR have been conducted, and there have been attempts to perform AR usability testing with remote settings. However, the authentic AR experience has not been provided to the participants due to complicated setup and logistics problems. They revealed many challenges such as different experimental mindsets, communication with participants, a sense of distance from the actual AR experience, and technical issues.This study was aimed to make such a direct comparison between the conventional lab-based (as a control group) usability testing, conventional lab-based AR usability testing, and a remote synchronous AR usability testing method to determine whether typical outcome variables (e.g. performance, satisfaction, accuracy) of usability tests would be affected by the reduced experiment control (e.g. presence of experimenter, user environment). Three different approaches would be conducted to compare the validity and usability for AR.</t>
  </si>
  <si>
    <t>252–263</t>
  </si>
  <si>
    <t>AR usability testing; Remote usability testing</t>
  </si>
  <si>
    <t>Y726XDH6</t>
  </si>
  <si>
    <t>Hisamatsu, Ikumi; Sakamoto, Yuji</t>
  </si>
  <si>
    <t>Usability Evaluation of VR Shopping System not Imitating Real Stores</t>
  </si>
  <si>
    <t>SIGGRAPH Asia 2023 Posters</t>
  </si>
  <si>
    <t>979-8-4007-0313-3</t>
  </si>
  <si>
    <t>10.1145/3610542.3626150</t>
  </si>
  <si>
    <t>https://doi.org/10.1145/3610542.3626150</t>
  </si>
  <si>
    <t>Virtual reality (VR) shopping has been attracting attention for its potential to offer people a new purchasing experience. However, most previous studies on VR shopping have dealt with systems that imitate real stores. Therefore, we focused on VR shopping systems that do not imitate real stores (non-store type systems) and evaluated their usability.First, we conducted an experiment to compare the shopping experience between a store type system and a circularly displayed non-store type system. The results revealed that the non-store type system was superior in terms of usefulness and ease of mobility but inferior in terms of spatial recognition and likability. On the basis of these results, we then proposed a retractable non-store type system and conducted an experiment to clarify its usability. As a result, the retractable non-store type system was rated better in terms of visibility and ease of mobility than the store type system. To create a better system, we have fixed and improved some problems with the retractable system pointed out by the experiment participants.</t>
  </si>
  <si>
    <t>SA '23</t>
  </si>
  <si>
    <t>Usability; Virtual reality; Online shopping; User experience; User Interface</t>
  </si>
  <si>
    <t>FSCLHB5V</t>
  </si>
  <si>
    <t>Kurniawardhani, Arrie; Defanra, Geri; Mahardhika, Galang Prihadi</t>
  </si>
  <si>
    <t>Temple Relief Storytelling using Augmented Reality for Enhanced Engagement with Cultural Heritage Sites</t>
  </si>
  <si>
    <t>Proceedings of the 2024 9th International Conference on Multimedia and Image Processing</t>
  </si>
  <si>
    <t>979-8-4007-1616-4</t>
  </si>
  <si>
    <t>10.1145/3665026.3665041</t>
  </si>
  <si>
    <t>https://doi.org/10.1145/3665026.3665041</t>
  </si>
  <si>
    <t>There are a number of stories in Borobudur temple, but not all visitors who return from visiting Borobudur know what the stories told on the temple panels. One of the reasons that condition happened was the difficulty in accessing information. To overcome that problem, this study attempts to make an application that can facilitate tourists accessing the relief story directly when they see the panel. The AR-Relief application utilizes Augmented Reality (AR) technology to provide the relief story on the user's smartphone when their smartphone scans a panel in Borobudur. A three-dimensional (3D) object will be generated on the user's smartphone while they can still see the relief panel through their camera smartphone. That 3D object can be a 3D animation video playing a corresponding relief story when the user clicks the “Play” button. AR-Relief application is tested using Usability Testing to determine their feasibility. Aspects tested in Usability Testing are Learnability, Memorability, Efficiency, and Satisfaction. The test result shows that AR-Relief applications get an average score of 4.07 on a scale of 5 for all aspects. It means the AR-Relief application is feasible to implement, and respondents can use that application easily to provide information about relief stories when visiting Borobudur.</t>
  </si>
  <si>
    <t>100–105</t>
  </si>
  <si>
    <t>ICMIP '24</t>
  </si>
  <si>
    <t>Augmented Reality; Usability Testing; Borobudur Temple; Jataka Relief; Panel</t>
  </si>
  <si>
    <t>R45495HU</t>
  </si>
  <si>
    <t>Iarygina, Olga; Hornbæk, Kasper; Mottelson, Aske</t>
  </si>
  <si>
    <t>Demand characteristics in human–computer experiments</t>
  </si>
  <si>
    <t>10.1016/j.ijhcs.2024.103379</t>
  </si>
  <si>
    <t>https://doi.org/10.1016/j.ijhcs.2024.103379</t>
  </si>
  <si>
    <t>Performance; Bias; Computer experiment; Computer interaction; Confound; Confounds; Demand characteristics; Empirical studies; Experiments; Human–computer interaction; Objective measure; Text entry; Validity</t>
  </si>
  <si>
    <t>TAM2WIKB</t>
  </si>
  <si>
    <t>Tarantino, Laura; De Gasperis, Giovanni; Mascio, Tania Di; Pino, Maria Chiara</t>
  </si>
  <si>
    <t>Immersive applications: what if users are in the autism spectrum?</t>
  </si>
  <si>
    <t>Proceedings of the 17th ACM SIGGRAPH International Conference on Virtual-Reality Continuum and Its Applications in Industry</t>
  </si>
  <si>
    <t>978-1-4503-7002-8</t>
  </si>
  <si>
    <t>10.1145/3359997.3365696</t>
  </si>
  <si>
    <t>https://doi.org/10.1145/3359997.3365696</t>
  </si>
  <si>
    <t>Domain experts generally agree on the potential of VR-based treatment aimed at improving emotional competencies and social skills in individuals with Autism Spectrum Disorder (ASD). The need arises for Immersive Virtual Environments evaluation frameworks appropriate for this specific user population. In this paper we sketch results of a study focused on engagement, with the multifold objective of (1) evaluating two headsets differing in the degree to which the physical world is cutout from the view (Oculus Rift and HoloLens) to study their general appropriateness with respect to possible VR-based ASD people treatment, (2) reasoning about the interpretation of selected measured engagement aspects in the cases of Typically Development people and ASD people, and (3) outlining the nature of VR-based possible ASD-oriented applications based on the two headsets.</t>
  </si>
  <si>
    <t>VRCAI '19</t>
  </si>
  <si>
    <t>event-place: Brisbane, QLD, Australia</t>
  </si>
  <si>
    <t>Virtual reality; Mixed reality; Usability testing; Human-centered design; Laboratory experiments; People with disabilities</t>
  </si>
  <si>
    <t>EN3AHT4Z</t>
  </si>
  <si>
    <t>Tcha-Tokey, Katy; Loup-Escande, Emilie; Christmann, Olivier; Richir, Simon</t>
  </si>
  <si>
    <t>Effects on User Experience in an Edutainment Virtual Environment: Comparison Between CAVE and HMD</t>
  </si>
  <si>
    <t>Proceedings of the European Conference on Cognitive Ergonomics</t>
  </si>
  <si>
    <t>978-1-4503-5256-7</t>
  </si>
  <si>
    <t>10.1145/3121283.3121284</t>
  </si>
  <si>
    <t>https://doi.org/10.1145/3121283.3121284</t>
  </si>
  <si>
    <t>The user experience in immersive virtual environment can be broadly defined by the feeling of presence and immersion in a virtual environment. The propensity of feeling "there" and "enveloped by" in the virtual environment seems to be essential in offering a high quality of experience. However, this user experience definition is partial and neglects other components of the user experience in immersive virtual environments. We consider the overall user experience in immersive virtual environments. In this study, we use our unified questionnaire to measure, analyze and compare the user experience of two immersive virtual devices (i.e., a Cave Automatic Virtual Environment and a Mobile Head Mounted Display). 21 participants took place in this study and assessed the user experience of these devices through the "King Tut VR2" edutainment virtual application. The results show that the CAVE induced a greater user experience than the HMD with significant difference in presence, engagement, flow, skill, judgement and experience consequence. The results also show no significant difference in immersion, usability, emotion and technology adoption between the CAVE and the HMD.</t>
  </si>
  <si>
    <t>1–8</t>
  </si>
  <si>
    <t>ECCE '17</t>
  </si>
  <si>
    <t>event-place: Umeå, Sweden</t>
  </si>
  <si>
    <t>Virtual Reality; Virtual reality; Helmet mounted displays; User experience; Ergonomics; Evaluation; Surveys; Cave automatic virtual environments; Caves; Immersive virtual environments; Display devices; Quality of service; Head mounted displays; User Experience; Immersive Virtual Environment; Feeling of presences; Immersive virtual environment; Questionnaire; Sensory perception; Virtual application</t>
  </si>
  <si>
    <t>Z5ZPAAMD</t>
  </si>
  <si>
    <t>Memmesheimer, Vera Marie; Klingshirn, Kai Jonas; Ravani, Bahram; Ebert, Achim</t>
  </si>
  <si>
    <t>Move’n’Hold: Scalable Device-Based Interaction for Mixed Reality Handheld Displays</t>
  </si>
  <si>
    <t>Proceedings of the European Conference on Cognitive Ergonomics 2023</t>
  </si>
  <si>
    <t>979-8-4007-0875-6</t>
  </si>
  <si>
    <t>10.1145/3605655.3605656</t>
  </si>
  <si>
    <t>https://doi.org/10.1145/3605655.3605656</t>
  </si>
  <si>
    <t>While handheld displays provide a widely available, low-budget access to Mixed Reality, developing appropriate interaction techniques remains challenging. For example, one-handed touch- and gestures-based methods are prone to fatigue and occlusion issues and two-handed device-based techniques are constrained to small-range manipulations or their pre-defined thresholds limit user control. In this paper, we introduce Move’n’Hold – a universally applicable interaction paradigm for translating and rotating virtual objects solely through a handheld display’s movement and peripheral touch. Move’n’Hold combines direct mapping between device and object manipulations when only left-thumb-touch is applied with automated repetitions of these initial manipulations that are started or stopped when right-thumb-touch is added or released. Hence, our technique allows switching individually between natural manipulation for small, precise movements and continuous manipulation for large, coarse movements. Our evaluation revealed Move’n’Hold as an intuitive and easy-to-learn input technique for multidimensional object translations and rotations. The technique also provides high scalability in terms of the distance, direction, complexity, and speed of manipulation. At the same time, it supports different user preferences and interaction styles. Our results further show that learning translation prior to rotation enhanced the overall user experience.</t>
  </si>
  <si>
    <t>ECCE '23</t>
  </si>
  <si>
    <t>event-place: Swansea, United Kingdom</t>
  </si>
  <si>
    <t>Augmented Reality; Augmented reality; User interfaces; Virtual objects; Mixed reality; Mixed Reality; Budget control; Device-based interaction; Device-based Interaction; Direct mapping; Handheld Display; Handheld displays; Interaction paradigm; Interaction techniques; One-handed; Threshold limits; User control</t>
  </si>
  <si>
    <t>MTVNGMKB</t>
  </si>
  <si>
    <t>Sapkota, Aava; Conte, Sho; Munteanu, Cosmin</t>
  </si>
  <si>
    <t>Time Travel Tours: An Accessible Social VR Storytelling Tool for Older Adults</t>
  </si>
  <si>
    <t>10.1145/3706599.3721196</t>
  </si>
  <si>
    <t>https://doi.org/10.1145/3706599.3721196</t>
  </si>
  <si>
    <t>Stories shape our identities and connections across generations, yet the digital divide continues to exclude many older adults from emerging storytelling technologies. We present Time Travel Tours (TTT), an accessible social virtual reality content creation system that enables older adults to craft and share location-based narrative experiences without requiring advanced technical skills or VR hardware. TTT combines a conversational guided web interface with automated Unity development pipelines to transform users’ personal stories and meaningful locations into persistent, multi-user virtual environments. The system leverages an AI-assisted creation tool to generate navigable virtual spaces where storytellers can guide others through their memories in real time. We discuss the system architecture, design considerations for accessibility and agency, and planned evaluation protocols focused on measuring usability, impacts on social connection and digital storytelling empowerment among older adults.</t>
  </si>
  <si>
    <t>Older adults; accessibility; content creation; digital storytelling; graphical interfaces; human-ai interaction; social virtual reality</t>
  </si>
  <si>
    <t>TUKJBMFW</t>
  </si>
  <si>
    <t>Irshad, Shafaq; Perkis, Andrew</t>
  </si>
  <si>
    <t>Increasing User Engagement in Virtual Reality:The Role of Interactive Digital Narratives to Trigger Emotional Responses</t>
  </si>
  <si>
    <t>Proceedings of the 11th Nordic Conference on Human-Computer Interaction: Shaping Experiences, Shaping Society</t>
  </si>
  <si>
    <t>978-1-4503-7579-5</t>
  </si>
  <si>
    <t>10.1145/3419249.3421246</t>
  </si>
  <si>
    <t>https://doi.org/10.1145/3419249.3421246</t>
  </si>
  <si>
    <t>Immersive multimedia technologies such as virtual reality (VR) create narrative experiences in the digital medium, thus revolutionizing how people communicate, learn, and think. These Interactive Digital Narratives (IDN) shape end-users’ experience with a broad potential for various applications. A fundamental aspect of achieving this potential is the establishment of a positive and engaging user experience. This study investigates how enabling the interactive narrative in a VR setting affects the engagement of the users. The study we base this work on involved thirty-two participants in a controlled experiment where they were asked to explore a designed VR environment, with and without a digital narrative. We observed a significant increase in the participants’ level of engagement in the narrative-based environment compared to the non-narrative VR environment. The results showed how the IDN in VR generates an increased emotional response, strengthening the users’ engagement, showing that IDN can be considered an essential factor in shaping the positive experience of end-users, thus shaping a better society.</t>
  </si>
  <si>
    <t>NordiCHI '20</t>
  </si>
  <si>
    <t>event-place: Tallinn, Estonia</t>
  </si>
  <si>
    <t>Virtual Reality; User experience design; presence; Engagement; Experience Design; Immersive Multimedia Experiences; Interactive Digital Narrative; User experience evaluation</t>
  </si>
  <si>
    <t>2KDE2RN9</t>
  </si>
  <si>
    <t>Szentirmai, Attila Bekkvik; Murano, Pietro</t>
  </si>
  <si>
    <t>New Universal Design Heuristics for Mobile Augmented Reality Applications</t>
  </si>
  <si>
    <t>HCI International 2023 – Late Breaking Papers: 25th International Conference on Human-Computer Interaction, HCII 2023, Copenhagen, Denmark, July 23–28, 2023, Proceedings, Part II</t>
  </si>
  <si>
    <t>978-3-031-48040-9</t>
  </si>
  <si>
    <t>10.1007/978-3-031-48041-6_27</t>
  </si>
  <si>
    <t>https://doi.org/10.1007/978-3-031-48041-6_27</t>
  </si>
  <si>
    <t>This paper presents new, novel and useful Universal Design principles in the context of mobile augmented reality (AR) applications. The principles can be used in an evaluative and/or design setting. The design of the principles was undertaken through experience-based practice. The new universal design principles for Mobile AR were then tested in an evaluation with four well known educational-type AR applications found in the Google Play store. The results of the evaluation closely matched public user comments about each application. Further, the evaluative activity using the new principles fostered design solutions for the problems found in the evaluation. From our activity, the new principles are very useful. It is suggested that these principles, if used, will help to develop better and more user friendly mobile AR applications.</t>
  </si>
  <si>
    <t>404–418</t>
  </si>
  <si>
    <t>Augmented Reality; Usability; Education; Accessibility; E-Learning; Design for All; Heuristic Evaluation; Universal Design</t>
  </si>
  <si>
    <t>Z3VZPTHV</t>
  </si>
  <si>
    <t>Anderies; Marvella, Maevy; Hakim, Nissa Adila; Seciawanto, Priskilla Adriani; Chowanda, Andry</t>
  </si>
  <si>
    <t>Implementation of Augmented Reality in Android-based Application to Promote Indonesian Tourism</t>
  </si>
  <si>
    <t>10.1016/j.procs.2023.10.560</t>
  </si>
  <si>
    <t>https://doi.org/10.1016/j.procs.2023.10.560</t>
  </si>
  <si>
    <t>2023-01</t>
  </si>
  <si>
    <t>573–581</t>
  </si>
  <si>
    <t>Augmented Reality; Usability Testing; Android; Indonesian Tourism</t>
  </si>
  <si>
    <t>Q5IA6PKI</t>
  </si>
  <si>
    <t>Kim, Hwinyeon; You, Gaeun; Laine, Teemu H.</t>
  </si>
  <si>
    <t>School Adaptation Virtual Reality Simulation for Preschoolers: Implementation and Formative Evaluation</t>
  </si>
  <si>
    <t>Proceedings of the 2023 7th International Conference on Virtual and Augmented Reality Simulations</t>
  </si>
  <si>
    <t>978-1-4503-9746-9</t>
  </si>
  <si>
    <t>10.1145/3603421.3603424</t>
  </si>
  <si>
    <t>https://doi.org/10.1145/3603421.3603424</t>
  </si>
  <si>
    <t>Preschoolers’ entrance to elementary school marks a major change in their lives, which may cause difficulties in adjusting to school, such as anxiety and refusal to attend. Accordingly, there is a need for school adaptation content for preschoolers before entering school. We developed a VR game that provides a classroom experience simulation with four different tasks for preschoolers before entering school. We conducted a formative evaluation on the game with 16 participants (5 males, 11 females, mean age: 22.25) of different ages to measure usability, presence and cybersickness. The results indicated that the game has adequate usability (SUS score: 80.88/90; PSSUQ mean: 3.44), with some issues related to quality of instructions, clarity of the user interface, and technical issues. Moreover, most of the participants were able to sense presence (involvement mean: 5.87; adaptation/immersion mean: 6.16), but 43.7% of them reported symptoms of cybersickness. The results of the study play a pioneering role in future work on development of immersive school adaption interventions. Therefore, the study can be of interest to researchers, developers and teachers who are interested in the area.</t>
  </si>
  <si>
    <t>14–20</t>
  </si>
  <si>
    <t>ICVARS '23</t>
  </si>
  <si>
    <t>event-place: Sydney, Australia</t>
  </si>
  <si>
    <t>usability; virtual reality; simulation; presence; cybersickness; formative evaluation; preschoolers; school adaptation</t>
  </si>
  <si>
    <t>IRZAK4WD</t>
  </si>
  <si>
    <t>Bastos, Arthur; Pinto, Alano; Ribeiro, Samira; Ferreira, Leonardo; Reis, Flavio; Chayel, Murilo</t>
  </si>
  <si>
    <t>Copelia: Wearable Augmented Reality Application for Training and Maintenance of Reclosers</t>
  </si>
  <si>
    <t>12th Augmented Human International Conference</t>
  </si>
  <si>
    <t>978-1-4503-9030-9</t>
  </si>
  <si>
    <t>10.1145/3460881.3460926</t>
  </si>
  <si>
    <t>https://doi.org/10.1145/3460881.3460926</t>
  </si>
  <si>
    <t>This short paper describes the study case of Copelia, an on-going project for a major Brazilian electricity company. The application employs augmented reality for training and maintenance. It runs on an HMT-1 smart glass and features automatic detection of reclosers and guided instructions for maintenance operations. This allows generalist electricians to perform tasks that would otherwise be performed exclusively by other skilled professionals. Preliminary results show that Copelia’s features are desirable for this kind of application and they can indeed be useful for both maintenance and training. However, users are not familiar with the technology and resisted the voice control interaction paradigm. The team identified problems related to functionality and user experience which may apply to similar applications. Future works include user testing to assess whether the improvements to the user interface reflect in a broader acceptance of the application.</t>
  </si>
  <si>
    <t>AH2021</t>
  </si>
  <si>
    <t>event-place: Geneva, Switzerland</t>
  </si>
  <si>
    <t>Augmented Reality; Augmented reality; User interfaces; Acceptance tests; User experience; Voice control; Augmented reality applications; Maintenance; Automatic Detection; Interaction paradigm; Automatic guided vehicles; Electric power generation; Electricity companies; Maintenance operations; Smart glass; Training; User testing; Wearable computers</t>
  </si>
  <si>
    <t>IS8YA35E</t>
  </si>
  <si>
    <t>González-González, Carina S.; Armas-Torres, Mª Belén; Barrios-Fleitas, Yeray</t>
  </si>
  <si>
    <t>Evaluation of UX in Geolocated Serious Games with AR</t>
  </si>
  <si>
    <t>Proceedings of the XVII International Conference on Human Computer Interaction</t>
  </si>
  <si>
    <t>978-1-4503-4119-6</t>
  </si>
  <si>
    <t>10.1145/2998626.2998651</t>
  </si>
  <si>
    <t>https://doi.org/10.1145/2998626.2998651</t>
  </si>
  <si>
    <t>This article describes the tools and techniques that are considered most appropriate to assess geolocated video games with augmented reality (AR). We are facing an unexplored field, given the recent emergence and growth of these fields, as this type of evidence is concerned. To do this, we have studied the assessment tools recommended by leading authors and researchers User Experience (UX), Playability and Player Experience (PX). Of these instruments and techniques they have been selected instruments and methods suitable for this type of videogame, it has been proposed a methodology and it has been tested in a field study with real potential users. As a case study, it has made the assessment Progrezz, a platform pioneer in the gamification of real social actions, based on the play model of Ingress, using as support for this technology mobile geographic location with the emerging technology of augmented reality. For this they previously discussed a number of issues related to the context and framework of the project in order to justify the existence and approach also explain the decisions taken during the approach, development and implementation. Finally, an evaluation guide has been proposed, which allows a multidimensional measure the UX/PX geolocated mobile games with AR.</t>
  </si>
  <si>
    <t>Interacción '16</t>
  </si>
  <si>
    <t>event-place: Salamanca, Spain</t>
  </si>
  <si>
    <t>Serious games; Evaluation; AR; geolocalization; Playability; UX/PX</t>
  </si>
  <si>
    <t>LQVW9LXE</t>
  </si>
  <si>
    <t>Frutos-Pascual, Maite; Gale, Clara; Harrison, Jake M.; Creed, Chris; Williams, Ian</t>
  </si>
  <si>
    <t>Character Input in Augmented Reality: An Evaluation of Keyboard Position and&amp;nbsp;Interaction Visualisation for&amp;nbsp;Head-Mounted Displays</t>
  </si>
  <si>
    <t>Human-Computer Interaction – INTERACT 2021: 18th IFIP TC 13 International Conference, Bari, Italy, August 30 – September 3, 2021, Proceedings, Part I</t>
  </si>
  <si>
    <t>978-3-030-85622-9</t>
  </si>
  <si>
    <t>10.1007/978-3-030-85623-6_29</t>
  </si>
  <si>
    <t>https://doi.org/10.1007/978-3-030-85623-6_29</t>
  </si>
  <si>
    <t>Character input in immersive environments is a non trivial task that has attracted much attention in recent years. This paper presents an evaluation of keyboard position, orientation and interaction together with the influence of visual interaction feedback in a controlled character input task with 27 participants in Augmented Reality (AR). It presents 5 different keyboard locations (3 bounded to the headset and 2 bounded to the non-dominant hand of the user) and 3 visual interaction feedback methods (finger raycast, fingertip glow and both combined). Objective (completion time, accuracy, Key per Minute (KPM)) and subjective (After Scenario Questionnaire (ASQ)) metrics are presented. Results showed that keyboard placement had an effect on accuracy, KPM metrics and subjective preference, with keyboard visualisation parallel and bounded to the headset position and orientation outperforming other keyboard locations.</t>
  </si>
  <si>
    <t>480–501</t>
  </si>
  <si>
    <t>Usability; Augmented reality; Visualisation; User evaluation; Text input</t>
  </si>
  <si>
    <t>EGH7YBHK</t>
  </si>
  <si>
    <t>Naranjo, Jose-E.; Ayala, Paulina; Cruz-Cando, José; Albán-Taipe, Mayra-S.; Garcia, Marcelo-V.</t>
  </si>
  <si>
    <t>Augmented Reality for Enhanced Usability and Functionality of Industrial SCADA Systems</t>
  </si>
  <si>
    <t>Extended Reality: International Conference, XR Salento 2024, Lecce, Italy, September 4–7, 2024, Proceedings, Part III</t>
  </si>
  <si>
    <t>978-3-031-71709-3</t>
  </si>
  <si>
    <t>10.1007/978-3-031-71710-9_6</t>
  </si>
  <si>
    <t>https://doi.org/10.1007/978-3-031-71710-9_6</t>
  </si>
  <si>
    <t>This research focuses on the integration of augmented reality (AR) technology into Supervisory Control and Data Acquisition (SCADA) systems for industrial applications. A SCADA system in an AR environment was developed, enabling users to monitor and control industrial processes through an immersive and interactive interface. The system’s architecture and implementation methodology are described, including communication protocols, data exchange, and 3D object manipulation. A mobile application was also implemented to enhance connectivity and accessibility. The usability and functionality of the AR SCADA system were validated through user surveys and statistical analysis. The results demonstrated that the application meets established usability parameters, providing an intuitive interface and satisfactory performance in controlling and monitoring industrial variables. The successful integration of AR into SCADA systems presents opportunities to enhance operational efficiency and safety in industrial environments. This study highlights the potential of AR technology in modernizing industrial control systems and paves the way for further advancements in this field.</t>
  </si>
  <si>
    <t>69–83</t>
  </si>
  <si>
    <t>Usability engineering; Augmented reality; Usability evaluation; Augmented reality technology; Augmented Reality (AR); Control and data acquisition systems; Digital control systems; Human Machine Interface; Human-Machine Interfaces; Industrial automation; Industrial Automation; Industrial processs; Monitor and control; Network security; Office automation; Research focus; SCADA systems; SCADA Systems; Supervisory control and data acquisition; Usability Evaluation</t>
  </si>
  <si>
    <t>8XH69ZVS</t>
  </si>
  <si>
    <t>Santos, Marc Ericson C.; Rompapas, Damien Constantine; Nishiki, Yoshinari; Taketomi, Takafumi; Yamamoto, Goshiro; Sandor, Christian; Kato, Hirokazu</t>
  </si>
  <si>
    <t>The COMPASS Framework for Digital Entertainment: Discussing Augmented Reality Activities for Scouts</t>
  </si>
  <si>
    <t>Proceedings of the 13th International Conference on Advances in Computer Entertainment Technology</t>
  </si>
  <si>
    <t>978-1-4503-4773-0</t>
  </si>
  <si>
    <t>10.1145/3001773.3001799</t>
  </si>
  <si>
    <t>https://doi.org/10.1145/3001773.3001799</t>
  </si>
  <si>
    <t>Entertainment is challenging to observe, especially with children, due to limited analytical tools. In response, we present a modified framework for entertainment computing, COMPASS – COmbined Mental, PhysicAl, Social and Spatial factors, which we use to analyze augmented reality activities for cub scouts.</t>
  </si>
  <si>
    <t>ACE '16</t>
  </si>
  <si>
    <t>Augmented Reality; User Experience; Children-Computer Interaction; Evaluation Framework</t>
  </si>
  <si>
    <t>FHXQ3AYT</t>
  </si>
  <si>
    <t>Watson, Paul W. L.; House, Samuel; Hart, Robert; Abbas, Jonathan; Asthana, Sheena; Gaudl, Swen E.</t>
  </si>
  <si>
    <t>A Case Study Using Virtual Reality to&amp;nbsp;Prime Knowledge for&amp;nbsp;Procedural Medical Training</t>
  </si>
  <si>
    <t>Human-Computer Interaction – INTERACT 2023: 19th IFIP TC13 International Conference, York, UK, August 28 – September 1, 2023, Proceedings, Part IV</t>
  </si>
  <si>
    <t>978-3-031-42292-8</t>
  </si>
  <si>
    <t>10.1007/978-3-031-42293-5_15</t>
  </si>
  <si>
    <t>https://doi.org/10.1007/978-3-031-42293-5_15</t>
  </si>
  <si>
    <t>Procedural training within medical education relies heavily on skill practice. This training requires developing a cognitive understanding of a procedure to prime learners before motor skill trials. With the high demand and costs of specialist equipment, virtual reality (VR) is poised to provide accessible content to develop cognitive understanding, and bridge the gap between knowledge and practice outside of dedicated training centres. Previous work in this field has focused on knowledge transfer, which is important yet insufficient to understand the interplay of instruction, usability, presence, and experience. All of which could impact learning outcomes and frequency of use. To have a more nuanced view of VR medical training beyond its knowledge transfer capability, we integrate HCI &amp;amp; games perspectives into our evaluation approach appraising the VR Bronchoscope Assembly (VR-Bronch) training.</t>
  </si>
  <si>
    <t>189–208</t>
  </si>
  <si>
    <t>event-place: York, United Kingdom</t>
  </si>
  <si>
    <t>Virtual Reality; Education; Training; Usability Testing; Design Process; Edutainment</t>
  </si>
  <si>
    <t>CLTKCNCX</t>
  </si>
  <si>
    <t>Tsepapadakis, Michalis; Gavalas, Damianos</t>
  </si>
  <si>
    <t>Are you talking to me? An Audio Augmented Reality conversational guide for cultural heritage</t>
  </si>
  <si>
    <t>Pervasive Mob. Comput.</t>
  </si>
  <si>
    <t>1574-1192</t>
  </si>
  <si>
    <t>10.1016/j.pmcj.2023.101797</t>
  </si>
  <si>
    <t>https://doi.org/10.1016/j.pmcj.2023.101797</t>
  </si>
  <si>
    <t>2023-05</t>
  </si>
  <si>
    <t>Cultural heritage; Context-awareness; User evaluation; AI chatbot; Audio Augmented Reality; Conversational audio guide; Cultural user experience; Exhibot; IBM watson; IoT; Spatial sound</t>
  </si>
  <si>
    <t>EX342YVB</t>
  </si>
  <si>
    <t>Mower, Andrea; Nguyen, Rosalyn; Frank, Kevin</t>
  </si>
  <si>
    <t>Evaluation of Technology Accessibility and User Sentiment in Learning Through Virtual Reality Modality</t>
  </si>
  <si>
    <t>Extended Abstracts of the 2020 CHI Conference on Human Factors in Computing Systems</t>
  </si>
  <si>
    <t>978-1-4503-6819-3</t>
  </si>
  <si>
    <t>10.1145/3334480.3375205</t>
  </si>
  <si>
    <t>https://doi.org/10.1145/3334480.3375205</t>
  </si>
  <si>
    <t>How would your organization's employees respond to a deployment of virtual reality based training? Would they be excited, inspired, or perhaps intimidated by new technology? We tested the accessibility of virtual reality (VR) as a modality for training PricewaterhouseCoopers (PwC) employees, and we observed negative and positive sentiments associated with various approaches to VR engagement. This case study presents our efforts to improve VR headset onboarding and game play experience by analyzing user experience from the time they show up for the VR learning experience to the time they leave. We describe learner capabilities and skills required to interact with the headset and voice-recognition technology in a simulation based learning experience, the methods we used to identify user sentiments and infer causes, as well as our efforts to address user needs by adjusting our VR learner experience design. In selecting our test user population, we attempted to represent the diversity of PwC learner demographics, including gender, ethnicity, employee role / function, practice group within PwC, and other characteristics that could have had a material impact on VR equipment use, such as prior experience with VR, use of eyeglasses, and presence of various accents when speaking. Our heterogenous group of testers pushed us to acknowledge user sensitivities, which we had previously underestimated. We changed our VR onboarding protocol in order to mitigate reticence to learning in VR. We believe that as the technology becomes more prevalent in the enterprise and more employees experience the value VR brings to the training experience, the overall sentiment toward VR will continue to improve. We hope our study motivates continued research to improve accessibility of VR technology, enterprise implementation of VR, user-interface design, and voice recognition technologies used in gameplay.</t>
  </si>
  <si>
    <t>CHI EA '20</t>
  </si>
  <si>
    <t>event-place: Honolulu, HI, USA</t>
  </si>
  <si>
    <t>virtual reality; gaze; accessibility; diversity and inclusion; inclusive leadership; sentiment surveys; user experience test; ux test design; virtual human; virtual reality learners; voice recognition</t>
  </si>
  <si>
    <t>QSMDUSKS</t>
  </si>
  <si>
    <t>Javaheri, Hamraz; Lehmann, Jessica; Altmeyer, Kristin; Müller, Lea Marie; Brünken, Roland; Lukowicz, Paul</t>
  </si>
  <si>
    <t>Design of Augmented Reality based Environment to Promote Spatial Imagination for Mathematics Education in Elementary School</t>
  </si>
  <si>
    <t>Adjunct Proceedings of the 2022 ACM International Joint Conference on Pervasive and Ubiquitous Computing and the 2022 ACM International Symposium on Wearable Computers</t>
  </si>
  <si>
    <t>978-1-4503-9423-9</t>
  </si>
  <si>
    <t>10.1145/3544793.3560380</t>
  </si>
  <si>
    <t>https://doi.org/10.1145/3544793.3560380</t>
  </si>
  <si>
    <t>This paper investigates the use of augmented reality (AR) technology to deliver augmented lectures to support students in acquiring the curricular competency of using spatial imagination in mathematics education. As a very important stage in education to develop spatial abilities this paper focuses on elementary school children. Due to the challenges of working with children in experimental studies, this education level has received comparatively little attention in terms of support through ubiquitous technology. A theory-driven design approach was adopted in the development of an AR-based learning environment to visualize various virtual 3D cube buildings aligned with real blueprints. The designed environment was evaluated by a group of 1st and 2nd grade students in terms of system usability. The results showed that the theory-driven design was successful with a score of 86.56 on the System Usability test. In our future work, we aimed to assess the effectiveness of the proposed AR environment in terms of learning gains by performing more task-focused studies before and after experiment and comparing the results with the traditional teaching methods.</t>
  </si>
  <si>
    <t>274–277</t>
  </si>
  <si>
    <t>UbiComp/ISWC '22 Adjunct</t>
  </si>
  <si>
    <t>event-place: Cambridge, United Kingdom</t>
  </si>
  <si>
    <t>Augmented Reality; Education; Usability Test; HCI; Mathematics; Spatial Abilities</t>
  </si>
  <si>
    <t>74XJ8ANR</t>
  </si>
  <si>
    <t>Ebrahimi, Elham; Hajj, Dana; Jarrett, Matthew; Ferrell, Anastasiya; Haddad, Linda; Chelala, Marc</t>
  </si>
  <si>
    <t>Designing Virtual Environments for&amp;nbsp;Smoking Cessation: A Preliminary Investigation</t>
  </si>
  <si>
    <t>10.1007/978-3-031-05939-1_28</t>
  </si>
  <si>
    <t>https://doi.org/10.1007/978-3-031-05939-1_28</t>
  </si>
  <si>
    <t>The recent pandemic of COVID-19 is placing smokers at a high risk of death as a result of the combination of smoking and COVID-19. This signals a need to address this problem among dual users (cigarette and vape users) and provides them with successful tools to quit tobacco. This pilot project aims to test a novel tool, a Virtual Reality and Motivational Interviewing combined approach that will assist dual users to quit tobacco products. The investigators wanted to pilot test the equipment and scenario for user-friendliness and interface. For the first phase of the pilot, we developed four Virtual Reality scenarios that contain different triggers for smoking, such as noise, stress, and cigarettes. We used Oculus Quest 2 for the hardware because the equipment does not require towers or connections to computers, operates utilizing WIFI, and is mobile. To develop the Software, we used the “Unity3D” game engine. A total of 21 participants tested the equipment and scenarios. The participants ranged between ages 18–71 with various gaming and virtual reality experience. The majority of the participants felt immersed in the Virtual reality environment. Some participants had some challenges with the equipment and the Software and provided valuable feedback to enhance the scenarios. The virtual reality environment promises to be a novel tool to assist tobacco users, mainly dual users, in quitting tobacco.</t>
  </si>
  <si>
    <t>410–422</t>
  </si>
  <si>
    <t>Virtual reality; Usability testing; Smoking cessation</t>
  </si>
  <si>
    <t>2P3JXK2Z</t>
  </si>
  <si>
    <t>Gerber, Michael A.; Schroeter, Ronald; Vehns, Julia</t>
  </si>
  <si>
    <t>A Video-Based Automated Driving Simulator for Automotive UI Prototyping, UX and Behaviour Research</t>
  </si>
  <si>
    <t>Proceedings of the 11th International Conference on Automotive User Interfaces and Interactive Vehicular Applications</t>
  </si>
  <si>
    <t>978-1-4503-6884-1</t>
  </si>
  <si>
    <t>10.1145/3342197.3344533</t>
  </si>
  <si>
    <t>https://doi.org/10.1145/3342197.3344533</t>
  </si>
  <si>
    <t>The lack of automated cars above SAE level 3 raises challenges for conducting User Experience Design (UXD) and behaviour research for automated driving. User-centred methods are critical to ensuring a human-friendly progress of vehicle automation. This work introduces the Immersive Video-based Automated Driving (IVAD) Simulator. It uses carefully recorded 180/360° videos that are played back in a driving simulator. This provides immersive driving experiences in visually realistic and familiar environments. This paper reports learnings from an iterative development of IVAD, and findings of two user studies: One simulator study (N=15) focused on the immersive experience; and one VR study (N=16) focused on rapid prototyping and the evaluation of Augmented Reality (AR) concepts. Overall, we found the method to be a useful, versatile and low budget UXD tool with a high level of immersion that is uniquely aided by the familiarity of the environment. IVAD's limitations and future improvements are discussed in relation to research applications within AutoUI.</t>
  </si>
  <si>
    <t>14–23</t>
  </si>
  <si>
    <t>AutomotiveUI '19</t>
  </si>
  <si>
    <t>event-place: Utrecht, Netherlands</t>
  </si>
  <si>
    <t>virtual reality; Automation; Virtual reality; augmented reality; Augmented reality; user experience; User interfaces; Automated driving; Behavioral research; User experience; Iterative methods; Automobile simulators; automated driving; Budget control; User experience design; Driving experiences; Iterative development; Prototyping tool; Prototyping tools; Research applications; Vehicle automations; Video simulator; prototyping tool; video simulator</t>
  </si>
  <si>
    <t>A9CYGFWX</t>
  </si>
  <si>
    <t>Düzgün, Reyhan; Mayer, Peter; Volkamer, Melanie</t>
  </si>
  <si>
    <t>Shoulder-Surfing Resistant Authentication for Augmented Reality</t>
  </si>
  <si>
    <t>Nordic Human-Computer Interaction Conference</t>
  </si>
  <si>
    <t>978-1-4503-9699-8</t>
  </si>
  <si>
    <t>10.1145/3546155.3546663</t>
  </si>
  <si>
    <t>https://doi.org/10.1145/3546155.3546663</t>
  </si>
  <si>
    <t>Augmented Reality (AR) Head-Mounted Displays (HMD) are increasingly used in industry to digitize processes and enhance user experience by enabling real-time interaction with both physical and virtual objects. In this context, HMD provide access to sensitive data and applications which demand authenticating users before granting access. Furthermore, these devices are often used in shared spaces. Thus, shoulder-surfing attacks need to be addressed. As users can remember pictures more easily than text, we applied the recognition-based graphical password scheme “Things” from previous work on an AR HMD while placing the pictures for each authentication attempt in a random order. We implemented this scheme for the HMD Microsoft HoloLens and conducted a user study evaluating Things’s usability. All participants could be successfully authenticated and the System Usability Scale (SUS) score is with 74 categorized as above average. We discuss as future work how to improve the SUS scores, e.g., by using different grid designs and input methods.</t>
  </si>
  <si>
    <t>NordiCHI '22</t>
  </si>
  <si>
    <t>event-place: Aarhus, Denmark</t>
  </si>
  <si>
    <t>Augmented Reality; usability evaluation; authentication; graphical passwords; Head-Mounted Displays</t>
  </si>
  <si>
    <t>YI5ME2KI</t>
  </si>
  <si>
    <t>Mania, K.; Ellis, S.; Billinghurst, M.; Steed, A.</t>
  </si>
  <si>
    <t>Tutorial 1: Usability Evaluation Techniques for Virtual Reality Technologies</t>
  </si>
  <si>
    <t>Proceedings of the IEEE Virtual Reality Conference 2002</t>
  </si>
  <si>
    <t>0-7695-1492-8</t>
  </si>
  <si>
    <t>VR '02</t>
  </si>
  <si>
    <t>FI2P9SFG</t>
  </si>
  <si>
    <t>Spierling, Ulrike; Winzer, Peter; Massarczyk, Erik</t>
  </si>
  <si>
    <t>Experiencing the Presence of Historical Stories with Location-Based Augmented Reality</t>
  </si>
  <si>
    <t>Interactive Storytelling: 10th International Conference on Interactive Digital Storytelling, ICIDS 2017 Funchal, Madeira, Portugal, November 14–17, 2017, Proceedings</t>
  </si>
  <si>
    <t>978-3-319-71026-6</t>
  </si>
  <si>
    <t>10.1007/978-3-319-71027-3_5</t>
  </si>
  <si>
    <t>https://doi.org/10.1007/978-3-319-71027-3_5</t>
  </si>
  <si>
    <t>In the SPIRIT research project, a location-based Augmented Reality (AR) storytelling application has been developed with the goal to support the imagination of lively historical events at places of cultural significance. We describe a showcase scenario and report on its quantitative and qualitative evaluation, conducted at the Saalburg Roman fort, an outdoor museum site near Bad Homburg in Germany. 107 random voluntary visitors were observed using the app, before filling questionnaires that were then analyzed with SPSS. Specifics of the app include a novel interaction pattern that uses positioning sensors of mobile devices and image recognition to trigger content, featuring transparent videos as ghost-like overlays on the camera image of the environment. Results presented in this paper show that in general, the app was effective and fun to use. Further, there have been differences in the experience of presence concerning the AR representation, as well as in the comprehension and appreciation of the story’s content. Concluding, we discuss influencing parameters on the results and draft hypotheses for future work.</t>
  </si>
  <si>
    <t>49–62</t>
  </si>
  <si>
    <t>event-place: Funchal, Madeira, Portugal</t>
  </si>
  <si>
    <t>Augmented Reality; Interaction design; User experience evaluation; Interactive storytelling; Location-based storytelling</t>
  </si>
  <si>
    <t>2H2GARKY</t>
  </si>
  <si>
    <t>Dumas, Catherine; Erdelez, Sanda; Pomerantz, Jeffrey; Parthiban, Vik</t>
  </si>
  <si>
    <t>Usability testing of LUI: A new human‐computer interface for large displays</t>
  </si>
  <si>
    <t>Proceedings of the Association for Information Science and Technology</t>
  </si>
  <si>
    <t>10.1002/pra2.118</t>
  </si>
  <si>
    <t>https://doi.org/10.1002/pra2.118</t>
  </si>
  <si>
    <t>A usability study was conducted on a new human‐computer web interface for large displays created by researchers from the Media Lab at MIT (Massachusetts Institute of Technology). Data was collected by observing 12 subjects who were asked interact with a large screen monitor using a set of gestures. The subjects were also asked to complete a survey after they participated. The purpose of the study was to discover new methods of how people interact with a large display using gestures. By understanding how people use this interface, novel applications that reflect user preferences can be designed. Our findings discovered usability and technology issues that were given to the creators of the web‐interface that was evaluated in this study. We also created usability testing protocol that will be used in future studies of this gesture‐based application.</t>
  </si>
  <si>
    <t>2019-10</t>
  </si>
  <si>
    <t>645–647</t>
  </si>
  <si>
    <t>Place: USA Publisher: John Wiley &amp;amp; Sons, Inc.</t>
  </si>
  <si>
    <t>usability testing; extended reality; gesture‐based technology</t>
  </si>
  <si>
    <t>8TQK2PDA</t>
  </si>
  <si>
    <t>Schroeter, Ronald; Gerber, Michael A.</t>
  </si>
  <si>
    <t>A Low-Cost VR-Based Automated Driving Simulator for Rapid Automotive UI Prototyping</t>
  </si>
  <si>
    <t>Adjunct Proceedings of the 10th International Conference on Automotive User Interfaces and Interactive Vehicular Applications</t>
  </si>
  <si>
    <t>978-1-4503-5947-4</t>
  </si>
  <si>
    <t>10.1145/3239092.3267418</t>
  </si>
  <si>
    <t>https://doi.org/10.1145/3239092.3267418</t>
  </si>
  <si>
    <t>Conducting User Experience Design (UXD) research in the context of automated driving today is challenging due to the lack of availability of automated cars that are SAE level 3 or above. This Extended Abstract presents a novel methodological tool for rapid prototyping, as well as testing and evaluation of future automotive interface design ideas. The tool combines Virtual Reality (VR) and real-world driving videos in a flexible Unity3D environment to create a visually realistic and immersive experiences. Using portable VR headsets, these exploratory experiences can be safely created anywhere anytime with little overhead, as shown through this interactive demo. We provide insights of using this method in the context of two exploring two concepts that use novel windscreen technologies and AR applications for level 3 automated cars and above.</t>
  </si>
  <si>
    <t>248–251</t>
  </si>
  <si>
    <t>AutomotiveUI '18</t>
  </si>
  <si>
    <t>event-place: Toronto, ON, Canada</t>
  </si>
  <si>
    <t>Augmented Reality; Virtual Reality; Automation; Virtual reality; Augmented reality; User interfaces; Automated driving; Prototyping; Software prototyping; Autonomous vehicles; User centered design; Petroleum reservoir evaluation; Simulation; Head-up displays; Real-world drivings; Testing and evaluation; Costs; Autonomous Vehicles; User experience design; Interface designs; Driverless Cars; Extended abstracts; Head Up Displays; Methodological tools; User Experience Design; Windscreen Displays</t>
  </si>
  <si>
    <t>Adjunct Proceedings - 10th International ACM Conference on Automotive User Interfaces and Interactive Vehicular Applications, AutomotiveUI 2018</t>
  </si>
  <si>
    <t>AGJS2AQM</t>
  </si>
  <si>
    <t>Ellis, S.; Mania, K.; Chalmers, A.; Billinghurst, M.; Steed, A.</t>
  </si>
  <si>
    <t>Tutorial 4: Usability Evaluation Techniques for Virtual Reality Technologies</t>
  </si>
  <si>
    <t>Proceedings of the Virtual Reality 2001 Conference (VR'01)</t>
  </si>
  <si>
    <t>0-7695-0948-7</t>
  </si>
  <si>
    <t>VR '01</t>
  </si>
  <si>
    <t>C3Y57GKQ</t>
  </si>
  <si>
    <t>Choi, Young Mi</t>
  </si>
  <si>
    <t>Applying tangible augmented reality for product usability assessment</t>
  </si>
  <si>
    <t>When developing a new product, it is common for designers to feel that they do not have enough information about users' needs. This is especially true at the front end of a new product design process. An important component of this process is testing and validating potential design concepts. The aim of this study was to explore the validity of augmented reality (AR) and tangible augmented reality (TAR) as tools for evaluating the usability of a product. For this study, 70 college students were recruited to perform a usability evaluation of a space heater product and equivalent AR and TAR representations of it. The results indicate that overall TAR can be a reliable method for evaluating the usability of a fully realized product, especially for products with physical interface controls. However, TAR was not found to be reliable with respect to Ease of Use. Overall, AR was not found to be as reliable as TAR or with respect to any specific aspect of usability that was measured. Applications, limitations, and areas for further study are discussed in this article as well.</t>
  </si>
  <si>
    <t>2019-08</t>
  </si>
  <si>
    <t>187–200</t>
  </si>
  <si>
    <t>augmented reality; usability assessment; product design evaluation; tangible augmented reality</t>
  </si>
  <si>
    <t>4BJ785P2</t>
  </si>
  <si>
    <t>Hald, Kasper; Rehm, Matthias; Moeslund, Thomas B.</t>
  </si>
  <si>
    <t>Augmented Reality Technology for Displaying Close-Proximity Sub-Surface Positions</t>
  </si>
  <si>
    <t>Human-Computer Interaction – INTERACT 2019: 17th IFIP TC 13 International Conference, Paphos, Cyprus, September 2–6, 2019, Proceedings, Part II</t>
  </si>
  <si>
    <t>978-3-030-29383-3</t>
  </si>
  <si>
    <t>10.1007/978-3-030-29384-0_38</t>
  </si>
  <si>
    <t>https://doi.org/10.1007/978-3-030-29384-0_38</t>
  </si>
  <si>
    <t>When designing human-system collaboration to assist in strenuous manual tasks we need to develop methods of communication between the system and the human. In this paper we are evaluating augmented reality (AR) technologies for displaying task-relevant information when the target is on a work surface for a typically standing work operation. In this case we are testing AR interfaces for displaying sub-surface positions. To do this we compare four types of AR interfaces, a head-mounted see-through display, a mounted see-through display, top-down surface projection and graphical overlays on a static monitor. We performed the experiment with 48 participants. Data analyses show significant difference between the AR interfaces in terms of task completion times and user satisfaction with the projection-based display being the fastest and most satisfying to the participants.</t>
  </si>
  <si>
    <t>641–659</t>
  </si>
  <si>
    <t>event-place: Paphos, Cyprus</t>
  </si>
  <si>
    <t>Augmented reality; Usability testing</t>
  </si>
  <si>
    <t>XFLL5QKM</t>
  </si>
  <si>
    <t>Olsson, Thomas; Salo, Markus</t>
  </si>
  <si>
    <t>Narratives of satisfying and unsatisfying experiences of current mobile augmented reality applications</t>
  </si>
  <si>
    <t>Proceedings of the SIGCHI Conference on Human Factors in Computing Systems</t>
  </si>
  <si>
    <t>978-1-4503-1015-4</t>
  </si>
  <si>
    <t>10.1145/2207676.2208677</t>
  </si>
  <si>
    <t>https://doi.org/10.1145/2207676.2208677</t>
  </si>
  <si>
    <t>Over the last few years, mobile applications demonstrating Augmented Reality (AR) - such as Layar, Junaio and Google Goggles - have been introduced to consumers. We conducted an online survey to explore the user experience (UX) of early stage mobile AR applications available in the market in spring 2011, covering both location-based AR browsers and image recognition AR applications for object-based interaction. We identify various types of experiences such applications have evoked by qualitatively analyzing 84 users' narratives of their most satisfying and unsatisfying experiences. The results highlight, for example, experiences of awareness of surroundings, empowerment, positive surprise, amazement and fascination from the novelty value, as well as some examples of immersion and social connectivity. The analysis indicates that the applications have not yet reached their potential in evoking a multifaceted user experience that is characteristic especially to AR. This work helps in understanding the experiential design potential in mobile AR and points out UX issues to further focus on in design.</t>
  </si>
  <si>
    <t>2779–2788</t>
  </si>
  <si>
    <t>CHI '12</t>
  </si>
  <si>
    <t>event-place: Austin, Texas, USA</t>
  </si>
  <si>
    <t>user experience; mixed reality; evaluation; mobile augmented reality; end-user application; location-based service; object-based interaction; online survey; user narration</t>
  </si>
  <si>
    <t>M9YJKLGD</t>
  </si>
  <si>
    <t>Bian, Yulong; Yang, Chenglei; Gao, Fengqiang; Li, Huiyu; Zhou, Shisheng; Li, Hanchao; Sun, Xiaowen; Meng, Xiangxu</t>
  </si>
  <si>
    <t>A framework for physiological indicators of flow in VR games: construction and preliminary evaluation</t>
  </si>
  <si>
    <t>Personal Ubiquitous Comput.</t>
  </si>
  <si>
    <t>1617-4909</t>
  </si>
  <si>
    <t>10.1007/s00779-016-0953-5</t>
  </si>
  <si>
    <t>https://doi.org/10.1007/s00779-016-0953-5</t>
  </si>
  <si>
    <t>Flow experience is often considered as an important standard of ideal user experience (UX). Till now, flow is mainly measured via self-report questionnaires, which cannot evaluate flow immediately and objectively. In this paper, we constructed a physiological evaluation model to evaluate flow in virtual reality (VR) game. The evaluation model consists of five first-level indicators and their respective second-level indicators. Then, we conducted an empirical experiment to test the effectiveness of partial indicators to predict flow experience. Most results supported the model and revealed that heart rate, interbeat interval, heart rate variability (HRV), low-frequency HRV (LF-HRV), high-frequency HRV (HF-HRV), and respiratory rate are all effective indicators in predicting flow experience. Further research should be conducted to improve the evaluation model and conclude practical implications in UX and VR game design.</t>
  </si>
  <si>
    <t>2016-10</t>
  </si>
  <si>
    <t>821–832</t>
  </si>
  <si>
    <t>User experience; Flow experience; Physiological evaluation model; Virtual reality game</t>
  </si>
  <si>
    <t>39A5I92F</t>
  </si>
  <si>
    <t>Ebrahimi, Elham; Morago, Brittany; Stocker, James; Moody, Amelia; Taylor, Amy; Pence, Toni; Jarrett, Matthew; Blackport, Blake</t>
  </si>
  <si>
    <t>Virtual Access to&amp;nbsp;STEM Careers: Two Preliminary Investigations</t>
  </si>
  <si>
    <t>Virtual, Augmented and Mixed Reality: Applications in Education, Aviation and Industry: 14th International Conference, VAMR 2022, Held as Part of the 24th HCI International Conference, HCII 2022, Virtual Event, June 26 – July 1, 2022, Proceedings, Part II</t>
  </si>
  <si>
    <t>978-3-031-06014-4</t>
  </si>
  <si>
    <t>10.1007/978-3-031-06015-1_4</t>
  </si>
  <si>
    <t>https://doi.org/10.1007/978-3-031-06015-1_4</t>
  </si>
  <si>
    <t>Virtual Access to STEM Careers (VASC) is a technology-rich, inquiry and problem-based curriculum designed to expose and stimulate student interest in marine, environmental, computer, and geological sciences. Intended for 3rd through 5th grade students, VASC builds academic momentum at the intermediate level to prepare students for STEM opportunities later in middle school and high school. Our program is aligned with “Next Generation Science Standards” and “Common Core State Standards” and immerses students in rigorous, high-interest learning modules where students are introduced to and take on the roles of different STEM occupations. We are specifically developing and testing virtual reality-based modules that place students in a coastal environment where they learn about the sea turtle life-cycle. Students also practice the types of measurements and conservation tasks that park rangers and marine scientists regularly perform. The investigations focused on the design of a user interface that meets the needs of students and their teachers. We collected feedback on user interface design and knowledge gained by the users from the simulation. Additionally, we compared two different virtual reality head-mounted displays; i) HTC Vive and ii) Oculus Quest 2, to identify the pros and cons of each technology in future classroom settings. Our investigations yielded valuable information about how instructions should be presented to users, how the interface should provide immediate feedback for user error, how surveys should be administered, what equipment is most efficient for transporting and setting up large scale experiments in schools, and what types of interactions students and teachers want to experience in VASC.</t>
  </si>
  <si>
    <t>45–58</t>
  </si>
  <si>
    <t>Virtual reality; Usability testing; HCI; K-12 STEM education</t>
  </si>
  <si>
    <t>66GRS5LA</t>
  </si>
  <si>
    <t>Dantes, Gede Rasben; Suputra, Putu Hendra; Sudarma, I. Komang; Suwastini, Ni Komang Arie; Dantes, Kadek Rihendra</t>
  </si>
  <si>
    <t>Evaluating and redesigning virtual reality 'underwater tourism' application based on heuristic method</t>
  </si>
  <si>
    <t>Int. J. Bus. Inf. Syst.</t>
  </si>
  <si>
    <t>1746-0972</t>
  </si>
  <si>
    <t>10.1504/ijbis.2020.110170</t>
  </si>
  <si>
    <t>https://doi.org/10.1504/ijbis.2020.110170</t>
  </si>
  <si>
    <t>This study aimed at evaluating the application of VR e-Bahari in terms of the usability aspects. The method used to evaluate the usability of the semi-immersive VR applications was using the 12 heuristic rules proposed by Sutcliffe and Gault (2004) in order to provide suggestions and recommendations for improvements of the application, with considerations in the positions that would cause cyber-sickness symptoms. The study revealed that the application of VR e-Bahari had successfully represent underwater environment with excellent completeness of 3D objects that were needed well, such as coral reef, fish, underwater effect and lighting. However, the interaction between the users and applications was shown to be less natural, while sound effects and narrative information were inadequate and there was a lack of use of the navigation buttons on the application. The study thus recommend improving the application by improving the VR environment boundary, adding more navigation buttons, providing more information on each object and intensifying air bubble and impact effects. Further, test on positions of the head indicated that a quick up, down and rotating movements of the head would trigger symptoms of cyber-sickness, while users felt more comfortable using ANTVR compared to Google Cardboard.</t>
  </si>
  <si>
    <t>225–238</t>
  </si>
  <si>
    <t>usability; virtual reality; evaluation; e-Bahari; electronic Bahari; heuristic; semi-immersion</t>
  </si>
  <si>
    <t>IYLDTQPC</t>
  </si>
  <si>
    <t>Kim, Gwangbin; Yeo, Dohyeon; Jo, Taewoo; Rus, Daniela; Kim, SeungJun</t>
  </si>
  <si>
    <t>What and When to Explain? On-road Evaluation of Explanations in Highly Automated Vehicles</t>
  </si>
  <si>
    <t>Proceedings of the ACM on Interactive, Mobile, Wearable and Ubiquitous Technologies</t>
  </si>
  <si>
    <t>10.1145/3610886</t>
  </si>
  <si>
    <t>https://doi.org/10.1145/3610886</t>
  </si>
  <si>
    <t>Explanations in automated vehicles help passengers understand the vehicle's state and capabilities, leading to increased trust in the technology. Specifically, for passengers of SAE Level 4 and 5 vehicles who are not engaged in the driving process, the enhanced sense of control provided by explanations reduces potential anxieties, enabling them to fully leverage the benefits of automation. To construct explanations that enhance trust and situational awareness without disturbing passengers, we suggest testing with people who ultimately employ such explanations, ideally under real-world driving conditions. In this study, we examined the impact of various visual explanation types (perception, attention, perception+attention) and timing mechanisms (constantly provided or only under risky scenarios) on passenger experience under naturalistic driving scenarios using actual vehicles with mixed-reality support. Our findings indicate that visualizing the vehicle's perception state improves the perceived usability, trust, safety, and situational awareness without adding cognitive burden, even without explaining the underlying causes. We also demonstrate that the traffic risk probability could be used to control the timing of an explanation delivery, particularly when passengers are overwhelmed with information. Our study's on-road evaluation method offers a safe and reliable testing environment and can be easily customized for other AI models and explanation modalities.</t>
  </si>
  <si>
    <t>2023-09</t>
  </si>
  <si>
    <t>automated vehicles; Automated vehicles; Automation; Driving conditions; in-car extended reality; In-car extended reality; intelligibility; Intelligibility; Level 4; Level 5; Mixed reality; Real-world drivings; Roads and streets; Situational awareness; Trust-awareness; Vehicle state; Vehicles</t>
  </si>
  <si>
    <t>NJWJTYJ6</t>
  </si>
  <si>
    <t>Yigitbas, Enes; Jovanovikj, Ivan; Scholand, Janis; Engels, Gregor</t>
  </si>
  <si>
    <t>VR Training for Warehouse Management</t>
  </si>
  <si>
    <t>Proceedings of the 26th ACM Symposium on Virtual Reality Software and Technology</t>
  </si>
  <si>
    <t>978-1-4503-7619-8</t>
  </si>
  <si>
    <t>10.1145/3385956.3422106</t>
  </si>
  <si>
    <t>https://doi.org/10.1145/3385956.3422106</t>
  </si>
  <si>
    <t>Virtual reality (VR) has evolved into a trending technology that has proven its worth in various application domains. VR is especially helpful for the training of complex tasks in special environments. In the area of logistics, warehouse management involves a complex workflow that consists of different order picking activities. Due to this complex workflow, stock discrepancies and misplaced wares are typical problems that often occur. To overcome this problem, we have developed a VR training application that integrates an existing warehouse management system and trains typical order picking processes. In our VR training demo, we simulate a real warehouse that is supplied with real stocks and real orders.</t>
  </si>
  <si>
    <t>VRST '20</t>
  </si>
  <si>
    <t>event-place: Virtual Event, Canada</t>
  </si>
  <si>
    <t>virtual reality; usability evaluation; logistics</t>
  </si>
  <si>
    <t>94CEBSEA</t>
  </si>
  <si>
    <t>Varela-Aldás, José; Buele, Jorge; Amariglio, Rebecca; García-Magariño, Iván; Palacios-Navarro, Guillermo</t>
  </si>
  <si>
    <t>The cupboard task: An immersive virtual reality-based system for everyday memory assessment</t>
  </si>
  <si>
    <t>10.1016/j.ijhcs.2022.102885</t>
  </si>
  <si>
    <t>https://doi.org/10.1016/j.ijhcs.2022.102885</t>
  </si>
  <si>
    <t>Diagnosis; Cognitive impairment; Performance; Virtual reality; Helmet mounted displays; Memory assessment; Immersive virtual reality; Training purpose; Head-mounted-displays; Association reactions; Cognitive rehabilitation; Correlation methods; Degrees of automation; Head-mounted display; Loci method; Locus method; Physical elements; Reliability analysis</t>
  </si>
  <si>
    <t>9M5MM43Z</t>
  </si>
  <si>
    <t>Tanaka, Eduardo; Paula, Tiago; Silva, Alisson; Antunes, Victor; Domingues, Leonardo; de Almeida, Lucimara; Alves, Alex; Oliveira, Roberta</t>
  </si>
  <si>
    <t>Evaluation of immersive virtual reality locomotion mechanisms</t>
  </si>
  <si>
    <t>Proceedings of the 19th Brazilian Symposium on Human Factors in Computing Systems</t>
  </si>
  <si>
    <t>978-1-4503-8172-7</t>
  </si>
  <si>
    <t>10.1145/3424953.3426550</t>
  </si>
  <si>
    <t>https://doi.org/10.1145/3424953.3426550</t>
  </si>
  <si>
    <t>Motion sickness is one of the most common issues that affects the user experience in immersive virtual reality environments. In general, a user feels motion sickness because the brain perceives a movement but his/her body is not actually moving. In immersive virtual reality, this is caused because, frequently, the user's field of view is blocked by a head-mounted display and the locomotion in the virtual world is performed by moving analog sticks in a gamepad-like device (this is also known as artificial locomotion). In addition to some general best practices and guidelines to prevent motion sickness and provide immersion, several different locomotion mechanisms have been conceived in the last few years, both in the academy and in the industry. This paper presents the findings from usability tests to compare different locomotion mechanisms. The evaluation took into account not only the level of motion sickness observed in the participants, but also the ease of learn and use, the subjective preferences and the sense of immersion. It is expected that the data from these tests will assist the development of immersive virtual reality environments and future enhancements of locomotion mechanisms for immersive virtual reality.</t>
  </si>
  <si>
    <t>IHC '20</t>
  </si>
  <si>
    <t>event-place: Diamantina, Brazil</t>
  </si>
  <si>
    <t>virtual reality; usability testing; locomotion</t>
  </si>
  <si>
    <t>5QU5RXJZ</t>
  </si>
  <si>
    <t>Avan, Emre; Capin, Tolga K.; Gurcay, Hasmet; Celikcan, Ufuk</t>
  </si>
  <si>
    <t>Enhancing VR experience with RBF interpolation based dynamic tuning of stereoscopic rendering</t>
  </si>
  <si>
    <t>10.1016/j.cag.2021.09.016</t>
  </si>
  <si>
    <t>https://doi.org/10.1016/j.cag.2021.09.016</t>
  </si>
  <si>
    <t>2022-02</t>
  </si>
  <si>
    <t>390–401</t>
  </si>
  <si>
    <t>Virtual reality; Depth authoring; Depth perception; RBF interpolation; Stereoscopic rendering</t>
  </si>
  <si>
    <t>W82NJS8X</t>
  </si>
  <si>
    <t>Teixeira, Ivan; Branco, Diogo; I Badia, Sergi Bermúdez</t>
  </si>
  <si>
    <t>Reh@Store: An Open-Source Framework for Enhancing ICT-Based Health Interventions with Secure Distribution, Maintenance, and Data Collection</t>
  </si>
  <si>
    <t>10.1016/j.procs.2024.06.327</t>
  </si>
  <si>
    <t>https://doi.org/10.1016/j.procs.2024.06.327</t>
  </si>
  <si>
    <t>1524–1531</t>
  </si>
  <si>
    <t>Data collection; Data Collection; distribution; Distribution; Electronic health record; Health care providers; Health interventions; Open Source Framework; Open source frameworks; Quality of life; Reh@store; Reh@Store; Remote data; Serious game maintenance; Serious games maintenance; Special needs</t>
  </si>
  <si>
    <t>K7NG6FQP</t>
  </si>
  <si>
    <t>Álvarez, Ibis M.; Manero, Borja; Romero-Hernández, Alejandro; Cárdenas, Miriela; Masó, Isabel</t>
  </si>
  <si>
    <t>Virtual reality platform for teacher training on classroom climate management: evaluating user acceptance</t>
  </si>
  <si>
    <t>10.1007/s10055-024-00973-6</t>
  </si>
  <si>
    <t>https://doi.org/10.1007/s10055-024-00973-6</t>
  </si>
  <si>
    <t>Enhancing the educational experience through Immersive Virtual Reality (IVR) is a promising avenue, elevating the authenticity and responsiveness of simulations. Particularly in educational settings, IVR holds the potential to augment accessibility and engagement in learning. However, one pivotal aspect lies in assessing the learners' acceptance of such environments to ensure optimal and effective utilization of these technologies. This paper delves into the Didascalia Virtual-ClassRoom usability testing —an immersive IVR environment tailored for pre-service secondary school teachers. The platform transports users into a simulated classroom, where they are invited to play the role of a teacher. During the simulation, three scenarios are recreated, reproducing disruptive behaviours commonly faced in real classrooms. 84 participants (28 teachers and 56 pre-service teachers) engaged in decision-making to manage the classroom climate influenced by the simulated situations. To collect data, we used a questionnaire based on the Technology Acceptance Model (TAM) to assess and gauge users' inclinations and attitudes towards embracing the technology in question. To gain deeper insights into the user experience, participants were further invited to participate in semi-structured interviews, offering reflections and suggestions for potential enhancements. The evaluation process encompassed the perceived usefulness of the Didascalia Virtual-ClassRoom, shedding light on factors that could either facilitate or impede the adoption of this platform to enhance classroom management competence. The participants' perspectives serve as a valuable foundation for refining the tool's functionality, and their feedback fuels recommendations for its seamless integration into initial teacher training programs.</t>
  </si>
  <si>
    <t>Usability evaluation; Immersive virtual reality; Classroom management; Initial teacher education; Secondary school</t>
  </si>
  <si>
    <t>WMXR8XJZ</t>
  </si>
  <si>
    <t>Palumbo, Maria Chiara; Saitta, Simone; Schiariti, Marco; Sbarra, Maria Chiara; Turconi, Eleonora; Raccuia, Gabriella; Fu, Junling; Dallolio, Villiam; Ferroli, Paolo; Votta, Emiliano; De Momi, Elena; Redaelli, Alberto</t>
  </si>
  <si>
    <t>Mixed Reality and Deep Learning for External Ventricular Drainage Placement: A Fast and Automatic Workflow for Emergency Treatments</t>
  </si>
  <si>
    <t>Medical Image Computing and Computer Assisted Intervention – MICCAI 2022: 25th International Conference, Singapore, September 18–22, 2022, Proceedings, Part VII</t>
  </si>
  <si>
    <t>978-3-031-16448-4</t>
  </si>
  <si>
    <t>10.1007/978-3-031-16449-1_15</t>
  </si>
  <si>
    <t>https://doi.org/10.1007/978-3-031-16449-1_15</t>
  </si>
  <si>
    <t>The treatment of hydrocephalus is based on anatomical landmarks to guide the insertion of an External Ventricular Drain (EVD). This procedure can benefit from the adoption of Mixed Reality (MR) technology. In this study, we assess the feasibility of a fully automatic MR and deep learning-based workflow to support emergency EVD placement, for which CT images are available and a fast and automatic workflow is needed. The proposed study provides a tool to automatically i) segment the skull, face skin, ventricles and Foramen of Monro from CT scans; ii) import the segmented model in the MR application; iii) register holograms on the patient’s head via a marker-less approach. An ad-hoc evaluation approach including 3D-printed anatomical structures was developed to quantitatively assess the accuracy and usability of the registration workflow.</t>
  </si>
  <si>
    <t>147–156</t>
  </si>
  <si>
    <t>event-place: Singapore, Singapore</t>
  </si>
  <si>
    <t>Deep learning; Computerized tomography; Mixed reality; Work-flows; CT-scan; 3D printers; Anatomical landmarks; CT Image; Emergency treatment; External ventricular drainage; Face skins; Mixed reality technologies</t>
  </si>
  <si>
    <t>73KXD2CC</t>
  </si>
  <si>
    <t>Wang, Wenting; Cheng, Jinghui; Guo, Jin L.C.</t>
  </si>
  <si>
    <t>Usability of Virtual Reality Application Through the Lens of the User Community: A Case Study</t>
  </si>
  <si>
    <t>Extended Abstracts of the 2019 CHI Conference on Human Factors in Computing Systems</t>
  </si>
  <si>
    <t>978-1-4503-5971-9</t>
  </si>
  <si>
    <t>10.1145/3290607.3312816</t>
  </si>
  <si>
    <t>https://doi.org/10.1145/3290607.3312816</t>
  </si>
  <si>
    <t>The increasing availability and diversity of virtual reality (VR) applications highlighted the importance of their usability. Function-oriented VR applications posed new challenges that are not well studied in the literature. Moreover, user feedback becomes readily available thanks to modern software engineering tools, such as app stores and open source platforms. Using Firefox Reality as a case study, we explored the major types of VR usability issues raised in these platforms. We found that 77% of usability feedbacks can be mapped to Nielsen's heuristics while few were mappable to VR-specific heuristics. This result indicates that Nielsen's heuristics could potentially help developers address the usability of this VR application in its early development stage. This work paves the road for exploring tools leveraging the community effort to promote the usability of function-oriented VR applications.</t>
  </si>
  <si>
    <t>1–6</t>
  </si>
  <si>
    <t>CHI EA '19</t>
  </si>
  <si>
    <t>event-place: Glasgow, Scotland Uk</t>
  </si>
  <si>
    <t>usability; virtual reality; heuristic evaluation; open source</t>
  </si>
  <si>
    <t>IPUPIGK3</t>
  </si>
  <si>
    <t>Wodzinski, Marek; Daniol, Mateusz; Socha, Miroslaw; Hemmerling, Daria; Stanuch, Maciej; Skalski, Andrzej</t>
  </si>
  <si>
    <t>Deep learning-based framework for automatic cranial defect reconstruction and implant modeling</t>
  </si>
  <si>
    <t>0169-2607</t>
  </si>
  <si>
    <t>10.1016/j.cmpb.2022.107173</t>
  </si>
  <si>
    <t>https://doi.org/10.1016/j.cmpb.2022.107173</t>
  </si>
  <si>
    <t>Place: USA Publisher: Elsevier North-Holland, Inc.</t>
  </si>
  <si>
    <t>Article; automation; controlled study; human; procedures; deep learning; Deep learning; data visualization; image segmentation; Image segmentation; Images segmentations; Mixed reality; software; Software; Iterative methods; diagnostic imaging; Image reconstruction; skull; image processing; Image Processing, Computer-Assisted; Autoimplant; AutoImplant; computer model; Cranial implant design; Cranial implants; Craniectomy; cranioplasty; Deep Learning; Defects; fused deposition modeling; geometry; Geometry; image registration; Implant design; Implant modeling; Musculoskeletal system; Personalized medicine; Personalized medicines; Printing, Three-Dimensional; Prostheses and Implants; prostheses and orthoses; qualitative analysis; quantitative analysis; Shape completion; Shape completions; Skull; skull defect; Skull reconstruction; surgery; three dimensional printing</t>
  </si>
  <si>
    <t>RWBQ8JTT</t>
  </si>
  <si>
    <t>Gu, Tao; Wang, Changbo; He, Gaoqi</t>
  </si>
  <si>
    <t>A VR-based, hybrid modeling approach to fire evacuation simulation</t>
  </si>
  <si>
    <t>10.1145/3284398.3284409</t>
  </si>
  <si>
    <t>https://doi.org/10.1145/3284398.3284409</t>
  </si>
  <si>
    <t>VR-based simulation could significantly improve the user experience by offering users vivid and near-life visual scenes, hence helping users better handle dangerous situations safely such as fire accidents. In this paper, we design a fire evacuation simulation system and propose a hybrid crowd evacuation modeling and simulation approach, which is a layer-based model adopting both local and global techniques partially into different layers. In essence, this model integrates an agent-based model with an improved dynamical network flow model, which is capable of taking into account issues both from individual diversity and from crowd movement tendency to simulate crowd evacuation. An emergency response mechanism driven by videos is then designed according to the model. Once fire accidents are detected in videos, the system will first simulate accidents according to the fire level provided by the monitoring module and then start an evacuation routine or adjust evacuation routes. The simulation system can be experienced by users in a virtual environment. Finally, evaluations have been conducted to test the rationality of our model and results show that the proposed model can simulate the crowd movement and agent behavior in dynamic environments efficiently.</t>
  </si>
  <si>
    <t>virtual reality; Virtual Reality; Virtual reality; Interactive computer graphics; Autonomous agents; Emergency response; Emergency services; Simulation systems; Computational methods; Fires; Accidents; Crowd evacuation; Dangerous situations; Dynamic environments; Dynamical networks; Emergency Response Mechanism; Fire evacuation; Fire Evacuation; Hybrid Crowd Evacuation Model; Individual diversities; emergency response mechanism; fire evacuation; hybrid crowd evacuation model</t>
  </si>
  <si>
    <t>EPZPVJ2M</t>
  </si>
  <si>
    <t>Sayara, Anika; Chen, Emily Lynn; Nguyen, Cuong; Xiao, Robert; Yoon, Dongwook</t>
  </si>
  <si>
    <t>GestureCanvas: A Programming by Demonstration System for Prototyping Compound Freehand Interaction in VR</t>
  </si>
  <si>
    <t>Proceedings of the 36th Annual ACM Symposium on User Interface Software and Technology</t>
  </si>
  <si>
    <t>979-8-4007-0132-0</t>
  </si>
  <si>
    <t>10.1145/3586183.3606736</t>
  </si>
  <si>
    <t>https://doi.org/10.1145/3586183.3606736</t>
  </si>
  <si>
    <t>As the use of hand gestures becomes increasingly prevalent in virtual reality (VR) applications, prototyping Compound Freehand Interactions (CFIs) effectively and efficiently has become a critical need in the design process. Compound Freehand Interaction (CFI) is a sequence of freehand interactions where each sub-interaction in the sequence conditions the next. Despite the need for interactive prototypes of CFI in the early design stage, creating them is effortful and remains a challenge for designers since it requires a highly technical workflow that involves programming the recognizers, system responses and conditionals for each sub-interaction. To bridge this gap, we present GestureCanvas, a freehand interaction-based immersive prototyping system that enables a rapid, end-to-end, and code-free workflow for designing, testing, refining, and subsequently deploying CFI by leveraging the three pillars of interaction models: event-driven state machine, trigger-action authoring, and programming by demonstration. The design of GestureCanvas includes three novel design elements — (i) appropriating the multimodal recording of freehand interaction into a CFI authoring workspace called Design Canvas, (ii) semi-automatic identification of the input trigger logic from demonstration to reduce the manual effort of setting up triggers for each sub-interaction, (iii) on the fly testing for independently validating the input conditionals in-situ. We validate the workflow enabled by GestureCanvas through an interview study with professional designers and evaluate its usability through a user study with non-experts. Our work lays the foundation for advancing research on immersive prototyping systems allowing even highly complex gestures to be easily prototyped and tested within VR environments.</t>
  </si>
  <si>
    <t>UIST '23</t>
  </si>
  <si>
    <t>event-place: San Francisco, CA, USA</t>
  </si>
  <si>
    <t>virtual reality; Automation; Virtual reality; Immersive; User interfaces; Bridges; compound freehand interaction; Compound freehand interaction; Demonstrations; Design-process; Hand gesture; Programming by demon-stration; programming by demonstration; Programming by demonstration systems; prototyping; Prototyping; Prototyping systems; Sequence conditions; Software prototyping; Work-flows</t>
  </si>
  <si>
    <t>UIST 2023 - Proceedings of the 36th Annual ACM Symposium on User Interface Software and Technology</t>
  </si>
  <si>
    <t>I5GXHXAA</t>
  </si>
  <si>
    <t>VR Interaction Modalities for the Evaluation of Technical Device Prototypes</t>
  </si>
  <si>
    <t>Human-Computer Interaction – INTERACT 2019: 17th IFIP TC 13 International Conference, Paphos, Cyprus, September 2–6, 2019, Proceedings, Part IV</t>
  </si>
  <si>
    <t>978-3-030-29389-5</t>
  </si>
  <si>
    <t>10.1007/978-3-030-29390-1_23</t>
  </si>
  <si>
    <t>https://doi.org/10.1007/978-3-030-29390-1_23</t>
  </si>
  <si>
    <t>Virtual Reality (VR) systems have reached the consumer market which offers new application areas. In our paper, we examine to what extent current VR technology can be used to perform local or remote usability tests for technical devices, e.g., coffee machines. For this, we put virtual prototypes of the technical devices into VR and let users interact with them. We implemented four interaction modalities that are suitable for low-level smartphone-based VR systems up&amp;nbsp;to high fidelity, tethered systems with room-scale tracking. The modalities range from a simple gaze pointer to interaction with virtual hands. Our case study and its counter evaluation show that we are able to detect usability issues of technical devices based on their virtual prototypes in VR. However, the quality of the results depends on the matching between the task, the technical device, the prototype level, and the interaction modality.</t>
  </si>
  <si>
    <t>416–435</t>
  </si>
  <si>
    <t>Virtual Reality; Usability; Usability testing; Virtual prototype; Device assessment; Interaction pattern</t>
  </si>
  <si>
    <t>VHNQ2A7E</t>
  </si>
  <si>
    <t>Lu, Ji-Rong Rachel; Chang, Teng-Wen; Wu, Yi-Sin; Chen, Chun-Yen</t>
  </si>
  <si>
    <t>Multimodal Coexistence Environment Design to Assist User Testing and Iterative Design of HiGame Emotional Interaction Design for Elderly</t>
  </si>
  <si>
    <t>Human Aspects of IT for the Aged Population. Technologies, Design and User Experience: 6th International Conference, ITAP 2020, Held as Part of the 22nd HCI International Conference, HCII 2020, Copenhagen, Denmark, July 19–24, 2020, Proceedings, Part I</t>
  </si>
  <si>
    <t>978-3-030-50251-5</t>
  </si>
  <si>
    <t>10.1007/978-3-030-50252-2_15</t>
  </si>
  <si>
    <t>https://doi.org/10.1007/978-3-030-50252-2_15</t>
  </si>
  <si>
    <t>Usability testing is an important process in human-computer interaction and user experience design. It can help designers understand the difficult points of the user in the interaction process. Whether the interactive situation is correctly presented in the test process and whether the designer has correctly received the feedback from the subject will affect the accuracy of the test. With the rapid development of the IoT in recent years, more and more interactive designs are multimodal models. When performing traditional usability test, iterative design processes often take a lot of cost to fully present the interactive situation for the subject to experience. And because there are many kinds of adjustable elements, the subjects are also more complicated and time-consuming to communicate with the designer to describe the feelings. Therefore, this study takes the multi-object HiGame elderly interaction design as an example. Using MR technology combined with 3D printing in the coexistence environment to assist HiGame interactive design for user testing and iterative design. The virtual prototyping combined with some physical tactile methods gives the subject a more complete experience. With Hololens as the virtual body interactive medium, the subject can co-design with the designer in a dynamic feedback manner at the same time. To enable the elderly subject to achieve the highest efficiency, communicate with the designer in real time through dynamic feedback. At the same time, it helps designers reduce the time and cost required for the iterative design process of multi-object interactive testing.</t>
  </si>
  <si>
    <t>197–209</t>
  </si>
  <si>
    <t>Mixed reality; Iterative design; Usability test; Multimodal interaction; Physical and virtual coexistence</t>
  </si>
  <si>
    <t>AUHZSXNE</t>
  </si>
  <si>
    <t>Pellett, Kerry; Zaidi, Syed Fawad Mustafa</t>
  </si>
  <si>
    <t>A Framework for Virtual Reality Training to Improve Public Speaking</t>
  </si>
  <si>
    <t>10.1145/3359996.3364727</t>
  </si>
  <si>
    <t>https://doi.org/10.1145/3359996.3364727</t>
  </si>
  <si>
    <t>This paper presents the logic and construction of a prototype virtual reality (VR) tool for public speech training. It reflects upon previous endeavours in this area, using them to make informed design decisions. A dictation recognizer is implemented to perform speech to text conversions. With this training simulator, users are be able to step into a virtual environment resembling a podium in an auditorium, with their speech appearing on a virtual cue card. Also, users are presented with a performance metric at the end of their speech to grade their overall performance. We suggest that the VR immersive prototype using speech-to-text recognition has a potential to be engaging and to serve as a tool for public speaking training.</t>
  </si>
  <si>
    <t>virtual reality; usability test; public speaking</t>
  </si>
  <si>
    <t>A79MPGBG</t>
  </si>
  <si>
    <t>Wijdenes, Pierre; Borkenhagen, David; Babione, Julie; Ma, Irene; Hallihan, Greg</t>
  </si>
  <si>
    <t>Leveraging Augmented Reality Training Tool for Medical Education: a Case Study in Central Venous Catheterization</t>
  </si>
  <si>
    <t>Extended Abstracts of the 2018 CHI Conference on Human Factors in Computing Systems</t>
  </si>
  <si>
    <t>978-1-4503-5621-3</t>
  </si>
  <si>
    <t>10.1145/3170427.3174361</t>
  </si>
  <si>
    <t>https://doi.org/10.1145/3170427.3174361</t>
  </si>
  <si>
    <t>Central venous catheterization is a relatively common bedside medical procedure that involves the placement of a catheter into a patient»s internal jugular vein in order to administer medication or fluids. To learn this technique, medical students traditionally practice on training mannequins under the guidance of a clinical instructor. The objective of this project was to co-develop a standardized augmented reality solution for teaching medical students this procedure, which would enable them to practice independently and at their own pace. Following an iterative design and prototyping process, we compiled a comprehensive set of usability heuristics specific to augmented reality healthcare applications, used to identify unique usability issues associated with augmented reality software. This approach offers a better strategy to improve the usability of augmented reality system and increases the potential to standardize and render medical education more accessible. The benefits of applying augmented reality to simulated medical education come with heavy consequences in the event of poor learning outcomes. The usability of these systems is paramount to ensure the development of clinical competence is facilitated and not hindered.</t>
  </si>
  <si>
    <t>1–7</t>
  </si>
  <si>
    <t>CHI EA '18</t>
  </si>
  <si>
    <t>event-place: Montreal QC, Canada</t>
  </si>
  <si>
    <t>usability; augmented reality; medical education; heuristic evaluation; central venous catheterization; medicine</t>
  </si>
  <si>
    <t>Q42GIMHB</t>
  </si>
  <si>
    <t>Iftene, Adrian; Trandabăț, Diana</t>
  </si>
  <si>
    <t>Enhancing the Attractiveness of Learning through Augmented Reality</t>
  </si>
  <si>
    <t>10.1016/j.procs.2018.07.220</t>
  </si>
  <si>
    <t>https://doi.org/10.1016/j.procs.2018.07.220</t>
  </si>
  <si>
    <t>2018-01</t>
  </si>
  <si>
    <t>166–175</t>
  </si>
  <si>
    <t>Augmented Reality; Usability Testing; Autism; eLearning</t>
  </si>
  <si>
    <t>DN3P8GLZ</t>
  </si>
  <si>
    <t>Hühn, Arief Ernst; Khan, Vassilis-Javed; Lucero, Andrés; Ketelaar, Paul</t>
  </si>
  <si>
    <t>On the use of virtual environments for the evaluation of location-based applications</t>
  </si>
  <si>
    <t>10.1145/2207676.2208646</t>
  </si>
  <si>
    <t>https://doi.org/10.1145/2207676.2208646</t>
  </si>
  <si>
    <t>User experience (UX) research on pervasive technologies faces considerable challenges regarding today's mobile context-sensitive applications: evaluative field studies lack control, whereas lab studies miss the interaction with a dynamic context. This dilemma has inspired researchers to use virtual environments (VEs) to acquire control while offering the user a rich contextual experience. Although promising, these studies are mainly concerned with usability and the technical realization of their setup. Furthermore, previous setups leave room for improvement regarding the user's immersive experience. This paper contributes to this line of research by presenting a UX case study on mobile advertising with a novel CAVE-smartphone interface. We conducted two experiments in which we evaluated the intrusiveness of a mobile location-based advertising app in a virtual supermarket. The results confirm our hypothesis that context-congruent ads lessen the experienced intrusiveness thereby demonstrating that our setup is capable of generating preliminary meaningful results with regards to UX. Furthermore, we share insights in conducting these studies.</t>
  </si>
  <si>
    <t>2569–2578</t>
  </si>
  <si>
    <t>mixed reality; location-based services; pervasive computing; user experience evaluation</t>
  </si>
  <si>
    <t>HU97K4E4</t>
  </si>
  <si>
    <t>Redondo, Ernest; Valls, Francesc; Fonseca, David; Navarro, Isidro; Villagrasa, Sergi; Olivares, Adriana; Peredo, Alberto</t>
  </si>
  <si>
    <t>Educational qualitative assessment of augmented reality models and digital sketching applied to urban planning</t>
  </si>
  <si>
    <t>Proceedings of the Second International Conference on Technological Ecosystems for Enhancing Multiculturality</t>
  </si>
  <si>
    <t>978-1-4503-2896-8</t>
  </si>
  <si>
    <t>10.1145/2669711.2669938</t>
  </si>
  <si>
    <t>https://doi.org/10.1145/2669711.2669938</t>
  </si>
  <si>
    <t>The current paper presents a qualitative assessment of using augmented reality (AR), and digital sketching (DS) as dynamics, hybrid and ubiquitous visualization systems of urban solutions designed inside of an architecture master education. We will discuss about the main advantages and disadvantages perceived by the students of applying this type of technologies in the visualization of urban teaching projects. The proposed method of assessment, in addition to adapting perfectly to small samples of users, allowed us to accurately characterize the main aspects of the designed practical experience, especially the high degree of satisfaction and accomplishment of the students in the use of mobile technologies with teaching purposes, and its adaptation for the visualization of models and urban and architectural projects.</t>
  </si>
  <si>
    <t>447–454</t>
  </si>
  <si>
    <t>TEEM '14</t>
  </si>
  <si>
    <t>user experience; e-learning; digital skills assessment; evaluation with augmented reality; motivation; qualitative assessment</t>
  </si>
  <si>
    <t>IDTU5H7Q</t>
  </si>
  <si>
    <t>Nakamura, Ricardo; Lago, Lucas L. M.; Carneiro, Alexandre B.; Cunha, Anderson J. C.; Ortega, Fábio J. M.; Bernardes, João L.; Tori, Romero</t>
  </si>
  <si>
    <t>3PI experiment: immersion in third-person view</t>
  </si>
  <si>
    <t>Proceedings of the 5th ACM SIGGRAPH Symposium on Video Games</t>
  </si>
  <si>
    <t>978-1-4503-0097-1</t>
  </si>
  <si>
    <t>10.1145/1836135.1836142</t>
  </si>
  <si>
    <t>https://doi.org/10.1145/1836135.1836142</t>
  </si>
  <si>
    <t>In this paper, we present the results of the "3PI Experiment" project. The objective of this project is to propose and evaluate an immersive interface based on a third-person view from a video camera, that can be used in augmented reality games. Since this type of interface has not been explored in games, a prototype involving interaction through navigation was developed and employed to assess the impact of the proposed interface on gameplay experience. Different user interface evaluation methods such as cognitive walkthroughs, automatic data collection and questionnaires were combined. It was possible to determine that the proposed interface caused no significant discomfort and had a short learning time, making it suitable for use in games.</t>
  </si>
  <si>
    <t>43–48</t>
  </si>
  <si>
    <t>Sandbox '10</t>
  </si>
  <si>
    <t>event-place: Los Angeles, California</t>
  </si>
  <si>
    <t>Virtual reality; augmented reality; Augmented reality; Immersive; User interfaces; User experience; Interactive computer graphics; Gameplay; Augmented-reality games; Automatic data collection; Game user experience; Interface evaluation; Learning time; User interface evaluation; Video cameras; Walkthroughs; game user experience; user interface evaluation</t>
  </si>
  <si>
    <t>5BLGWCSN</t>
  </si>
  <si>
    <t>Liu, Yu; Bitter, Jessica L.; Spierling, Ulrike</t>
  </si>
  <si>
    <t>Evaluating Interaction Challenges of&amp;nbsp;Head-Mounted Device-Based Augmented Reality Applications for&amp;nbsp;First-Time Users at&amp;nbsp;Museums and&amp;nbsp;Exhibitions</t>
  </si>
  <si>
    <t>Culture and Computing: 11th International Conference, C&amp;amp;C 2023, Held as Part of the 25th HCI International Conference, HCII 2023, Copenhagen, Denmark, July 23–28, 2023, Proceedings</t>
  </si>
  <si>
    <t>978-3-031-34731-3</t>
  </si>
  <si>
    <t>10.1007/978-3-031-34732-0_11</t>
  </si>
  <si>
    <t>https://doi.org/10.1007/978-3-031-34732-0_11</t>
  </si>
  <si>
    <t>Many museums are seeking opportunities to apply head-mounted device (HMD)-based augmented reality (AR) technology to their exhibitions. However, due to the novel interaction method of HMDs, visitors are usually first-time users who find it difficult to gain enjoyment from using HMD-based AR applications directly. Thus, we argue that it is crucial to understand what has prevented visitors from experiencing the convenience of HMD-based AR applications. There are two main contributions to computer science in this paper: first, we introduced an HMD-based AR prototype with three interaction patterns that are made based on a natural science exhibition; Second, we proposed a usability test method to evaluate the HMD-based AR prototype to identify potential interaction problems in the exhibition sector. The results show that the suggested usability test method is effective in identifying interaction challenges and it helps media developers to improve AR experiences for first-time users at exhibitions and museums.</t>
  </si>
  <si>
    <t>150–163</t>
  </si>
  <si>
    <t>Usability evaluation; Human-Computer Interaction (HCI); augmented reality (AR); accessibility; design research; head-mounted device (HMD); interaction pattern; spatial interface</t>
  </si>
  <si>
    <t>KVAMIPKQ</t>
  </si>
  <si>
    <t>Hunsucker, Andrew J.; McClinton, Kelly; Wang, Jennifer; Stolterman, Erik</t>
  </si>
  <si>
    <t>Augmented Reality Prototyping For Interaction Design Students</t>
  </si>
  <si>
    <t>Proceedings of the 2017 CHI Conference Extended Abstracts on Human Factors in Computing Systems</t>
  </si>
  <si>
    <t>978-1-4503-4656-6</t>
  </si>
  <si>
    <t>10.1145/3027063.3053684</t>
  </si>
  <si>
    <t>https://doi.org/10.1145/3027063.3053684</t>
  </si>
  <si>
    <t>Technology never stops advancing. As such instructors in technology related fields must always be aware of new advancements, and prepare their students for industry. A prime example exists in Augmented Reality, a space of increasing popularity and scrutiny. However, to prototype a usable experience, students will need at the very least: 1) Programming experience, 2) 3D modeling experience, 3) an expensive AR headset. Can we create effective AR prototypes without spending a lot of time or money? In this paper we will explore a method for students to create prototypes of Augmented Reality designs that can be achieved through existing design methods.</t>
  </si>
  <si>
    <t>1018–1023</t>
  </si>
  <si>
    <t>CHI EA '17</t>
  </si>
  <si>
    <t>event-place: Denver, Colorado, USA</t>
  </si>
  <si>
    <t>augmented reality; usability testing; prototyping; bodystorming</t>
  </si>
  <si>
    <t>PS9Q4A86</t>
  </si>
  <si>
    <t>Ormeño, Emilio; Alessio, Claudio; Ochoa, Sergio F.; Collazos, César A.</t>
  </si>
  <si>
    <t>Towards a formative instrument to evaluate user experience in virtual reality serious games</t>
  </si>
  <si>
    <t>Proceedings of the 5th Workshop on ICTs for Improving Patients Rehabilitation Research Techniques</t>
  </si>
  <si>
    <t>978-1-4503-7151-3</t>
  </si>
  <si>
    <t>10.1145/3364138.3364152</t>
  </si>
  <si>
    <t>https://doi.org/10.1145/3364138.3364152</t>
  </si>
  <si>
    <t>Regardless the large efforts done in assessing user experience in virtual reality games, few instruments have been proposed to conduct these evaluations on VR serious games. Most proposals focus on evaluating final products or address different subsets of design aspects, providing few or no feedback to designers during the development of a game. In order to help developers assess their prototypes and determine the soundness of their interim designs during the development of VR serious games, this article proposes a formative evaluation instrument based on a literature review. The instrument has been particularly designed to evaluate user experience and provide feedback to designers for improving their proposals when required. The usability and usefulness of this instrument was evaluated with experts in the design of serious games, and the preliminary results are highly positive.</t>
  </si>
  <si>
    <t>53–57</t>
  </si>
  <si>
    <t>REHAB '19</t>
  </si>
  <si>
    <t>event-place: Popayan, Columbia</t>
  </si>
  <si>
    <t>user experience; formative evaluation instrument; game design; VR serious games</t>
  </si>
  <si>
    <t>XAWESABF</t>
  </si>
  <si>
    <t>Morosi, Feederico; Carli, Iacopo; Caruso, Giandomenico; Cascini, Gaetano; Dekoninck, Elies; Boujut, Jean-François</t>
  </si>
  <si>
    <t>Exploring Tablet Interfaces for Product Appearance Authoring in Spatial Augmented Reality</t>
  </si>
  <si>
    <t>10.1016/j.ijhcs.2021.102719</t>
  </si>
  <si>
    <t>https://doi.org/10.1016/j.ijhcs.2021.102719</t>
  </si>
  <si>
    <t>Usability evaluation; Spatial Augmented Reality; Authoring tool; Human-Computer interface; Interface validation; Touch interaction</t>
  </si>
  <si>
    <t>HWL3BGKC</t>
  </si>
  <si>
    <t>Shamonsky, Dorothy</t>
  </si>
  <si>
    <t>The Viability of User-Centered and Human-Centered Design Practices with Natural User Interfaces (NUIs)</t>
  </si>
  <si>
    <t>Design, User Experience, and Usability: 12th International Conference, DUXU 2023, Held as Part of the 25th HCI International Conference, HCII 2023, Copenhagen, Denmark, July 23–28, 2023, Proceedings, Part I</t>
  </si>
  <si>
    <t>978-3-031-35698-8</t>
  </si>
  <si>
    <t>10.1007/978-3-031-35699-5_22</t>
  </si>
  <si>
    <t>https://doi.org/10.1007/978-3-031-35699-5_22</t>
  </si>
  <si>
    <t>User centered Design (UCD) and Human-centered Design (HCD) are philosophies and methodologies that consider human needs first in the design of products, services, processes, and systems. They also involve users in the design process through observation, interviews, testing, workshops, and as co-designers. UCD and HCD emerged in the mid-century when computers interfaces were difficult to use and the profession of HCI was just emerging. Are UCD and HCD future-proof practices or does rapidly evolving technology require new design philosophies and methodologies? This paper examines how these practices apply to future interfaces, specifically Natural User Interfaces (NUIs). NUIs are interfaces that go beyond the desktop paradigm. NUIs by their definition use a wide variety of modalities and technologies including augmented and virtual reality, robotics, and wearables. They simply allow humans to interact with computer-enabled devices in ways that are more natural for humans. While NUIs are easier for humans to learn and use, they are more complicated and challenging to design because they have more capabilities than current interfaces and are more responsive to humans. They utilize more automatic behaviors. Technologies like robots and medical devices have safety concerns. What design philosophy or methodologies are needed to support good usability design in the future when NUIs will be much more common? Do UCD and HCD suffice?</t>
  </si>
  <si>
    <t>297–307</t>
  </si>
  <si>
    <t>14030 LNCS</t>
  </si>
  <si>
    <t>Virtual reality; User interfaces; User centered design; Software design; Product design; Design Methodology; Design of product; Design philosophy; Design practice; Human needs; Human-centered Design; Human-centred designs; Natural user interface; Natural User Interface; Philosophical aspects; Product process; Product service; User-centered Design; User-centred; Wearable technology</t>
  </si>
  <si>
    <t>A6LENHJ3</t>
  </si>
  <si>
    <t>Pribeanu, Costin; Iordache, Dragoş Daniel</t>
  </si>
  <si>
    <t>Evaluating the Motivational Value of an Augmented Reality System for Learning Chemistry</t>
  </si>
  <si>
    <t>Proceedings of the 4th Symposium of the Workgroup Human-Computer Interaction and Usability Engineering of the Austrian Computer Society on HCI and Usability for Education and Work</t>
  </si>
  <si>
    <t>978-3-540-89349-3</t>
  </si>
  <si>
    <t>10.1007/978-3-540-89350-9_3</t>
  </si>
  <si>
    <t>https://doi.org/10.1007/978-3-540-89350-9_3</t>
  </si>
  <si>
    <t>The development of Augmented Reality (AR) technologies is creating new opportunities and challenges for the designers of e-learning systems. More recently, AR based educational systems have been developed that are implementing new learning scenarios for primary and secondary schools. An important goal of these novel teaching platforms is to enhance the students' motivation to learn. This paper reports on a user-centered formative usability evaluation of an AR-based learning scenario for Chemistry with a focus on the motivational value. After user testing, quantitative and qualitative data were collected that are measuring the educational and motivational values of the learning scenario. While the comparison between the two types of measure is increasing the confidence in the evaluation results, the qualitative measures are also providing with a detailed description of the user learning experience. In this respect, not only the students found the Chemistry scenario interesting, captivating and enjoyable but they were also delighted to feel in control of the learning process.</t>
  </si>
  <si>
    <t>31–42</t>
  </si>
  <si>
    <t>USAB '08</t>
  </si>
  <si>
    <t>event-place: Graz, Austria</t>
  </si>
  <si>
    <t>augmented reality; user experience; educational software; formative usability evaluation; user testing</t>
  </si>
  <si>
    <t>JZBP4KE9</t>
  </si>
  <si>
    <t>Litvak, Eran; Kuflik, Tsvi</t>
  </si>
  <si>
    <t>Enhancing cultural heritage outdoor experience with augmented-reality smart glasses</t>
  </si>
  <si>
    <t>10.1007/s00779-020-01366-7</t>
  </si>
  <si>
    <t>https://doi.org/10.1007/s00779-020-01366-7</t>
  </si>
  <si>
    <t>Technologies such as context-aware mobile augmented reality (MAR) offer new ways of delivering information and creating new experiences for visitors of cultural heritage (CH) sites. Significant progress has been made in MAR for indoor museum visits. However, studies investigating the way that visitors interact with MAR in an open-air museum are lacking, as are studies aimed at identifying major usability and technology acceptance issues. This paper presents a special type of MAR—an augmented reality smart glasses (ARSG)-based mobile guide that served as a testbed for exploring the potential of ARSG to enhance visitor experience at outdoor CH sites. We developed the ARSG-based guide with location and orientation-based functionalities that provided visitors with context-aware information regarding the points of interest (POIs) in their field of view (FOV). We compared it with a more conventional smartphone-based guide (identical application). The results show that visitors are positive towards using ARSG as a tool for exploring cultural heritage (CH) sites and learning about exhibits. The results also highlighted several challenges that must be overcome before an ARSG-based system can be fully implemented for outdoor CH sites. Nonetheless, the visitors’ positive attitude indicates that ARSG technology may soon become an accepted part of CH tourism (and tourism in general).</t>
  </si>
  <si>
    <t>873–886</t>
  </si>
  <si>
    <t>Augmented reality; System usability; Mobile; Cultural heritage; User evaluation; Smart glasses; Smart tourism</t>
  </si>
  <si>
    <t>XCFCHDWW</t>
  </si>
  <si>
    <t>Goncharov, Andrey; Yalcin, Ozge Nilay; Dipaola, Steve</t>
  </si>
  <si>
    <t>Expectations vs. Reality: The Impact of Adaptation Gap on Avatars in Social VR Platforms</t>
  </si>
  <si>
    <t>Companion Publication of the 25th International Conference on Multimodal Interaction</t>
  </si>
  <si>
    <t>979-8-4007-0321-8</t>
  </si>
  <si>
    <t>10.1145/3610661.3617643</t>
  </si>
  <si>
    <t>https://doi.org/10.1145/3610661.3617643</t>
  </si>
  <si>
    <t>Online VR Platforms allow users to use different kinds of avatar controls including motion-tracked and automated-gesturing avatars. The avatar control might change users’ experience and impact immersion when exposed to different avatars simultaneously due to the differences in the quality of behavior generation. In this paper, we propose to measure the difference in participants’ expectations and perceptions of both avatars in the form of Adaptation Gap scores, testing the assumption that differences in avatar behavior control type have an impact on user experience. Our results support the argument that avatar control type matters as well as the scenario in which the interaction takes place. We also show that the difference between user expectations and their perceptions is correlated with the believability of the avatars, which is known to have an important impact on the interaction.</t>
  </si>
  <si>
    <t>146–153</t>
  </si>
  <si>
    <t>ICMI '23 Companion</t>
  </si>
  <si>
    <t>Virtual reality; User interfaces; Users' experiences; Adaptation gap; Adaptation Gap; Automated gesture; Automated Gesture; Avatar; Behavior control; Behavior generation; Control type; Exposed to; Motion analysis; Motion tracking; Quality control; User Perception; User perceptions; KEYWORDS</t>
  </si>
  <si>
    <t>2SJXTDKX</t>
  </si>
  <si>
    <t>Abdi Oskouie, Mina; Boulanger, Pierre</t>
  </si>
  <si>
    <t>Using Proxy Haptic for a Pointing Task in the Virtual World: A Usability Study</t>
  </si>
  <si>
    <t>Augmented Reality, Virtual Reality, and Computer Graphics: 6th International Conference, AVR 2019, Santa Maria al Bagno, Italy, June 24–27, 2019, Proceedings, Part I</t>
  </si>
  <si>
    <t>978-3-030-25964-8</t>
  </si>
  <si>
    <t>10.1007/978-3-030-25965-5_21</t>
  </si>
  <si>
    <t>https://doi.org/10.1007/978-3-030-25965-5_21</t>
  </si>
  <si>
    <t>Virtual Reality (VR) applications are getting progressively more popular in many disciplines. This is mainly due to (1) technological advancement in rendering images and sounds, and (2) immersive experience of VR which intensifies users’ engagement leading to improved joy, sense of presence and success. Although VR creates a realistic experience by simulating visual and auditory sense, it ignores other human senses. The absence of haptic feedback in Virtual Environments (VE) can impair users’ engagement. Our objective is to provide haptic feedback in VE using the most affordable method, proxy haptics. Proxies are physical objects which are co-registered with virtual objects in a way that by touching the proxies, users see their virtual hand touching the virtual objects. So, the haptic feedback will be applied to users’ hands by touching the proxies. The important question which arises here is: what are the influences of providing haptic feedback on users’ performance and usability? In this work, we have designed an experiment in Virtual Reality to answer this question. In the virtual environment, we presented a keyboard with touchable keys and asked our participants to type three words using the keyboard. They repeated the experiment twice: once they used their own hands and pressed the keys and once they used VR controllers for typing. Our results show that participants can type words with fewer errors when they are using their own hands while they found VR controllers easier to use.</t>
  </si>
  <si>
    <t>292–299</t>
  </si>
  <si>
    <t>event-place: Santa Maria al Bagno, Italy</t>
  </si>
  <si>
    <t>Virtual Reality; Usability test; Passive haptic; Sense of touch</t>
  </si>
  <si>
    <t>6J3GPAY2</t>
  </si>
  <si>
    <t>Marín-Vega, Humberto; Alor-Hernández, Giner; Colombo-Mendoza, Luis Omar; Bustos-López, Maritza; Zataraín-Cabada, Ramón</t>
  </si>
  <si>
    <t>ZeusAR: a process and an architecture to automate the development of augmented reality serious games</t>
  </si>
  <si>
    <t>Multimedia Tools Appl.</t>
  </si>
  <si>
    <t>1380-7501</t>
  </si>
  <si>
    <t>10.1007/s11042-021-11695-1</t>
  </si>
  <si>
    <t>https://doi.org/10.1007/s11042-021-11695-1</t>
  </si>
  <si>
    <t>A software development process comprises all the steps necessary to produce a software product. This research proposes a new process for developing augmented reality serious games (ARSGs), which comprises three phases: analysis, configuration, and generation. The analysis phase involves examining the standard project structure of a typical serious game to identify the applicable actions to which AR content can be added. The configuration phase involves configuring the AR features and the AR library to be integrated into the game structure. Finally, the generation phase entails inserting the AR code in the game structure, as well as all the files necessary to in-corporate AR features in the game. Our process allows generating ARSGs step by step, both easily and rapidly. To implement this process, we propose an ARSG development software architecture. The underlying assumption of this architecture is that software development tools are essential validation elements of the software generation process. By implementing our ARSG development process through a software architecture, we provide users with a formal, automated method for creating ARSGs. The ARSG development process and the architecture, collectively called ZeusAR, are not dependent on specific software development technologies and/or programming languages. To perform a proof-of-concept of our process, we developed an ARSG generator tool based on the proposed architecture and conducted a case study in which geometry ARSGs are developed to help high school students learn about geometric shapes and their properties. We conducted a qualitative evaluation of the ZeusAR tool through a System-Usability-Scale (SUS) based survey, which was administered to a group of geometry teachers to evaluate the tool’s characteristics, such as ease of use and ease of configuration. Additionally, a group of software developers and professors assessed the performance of the ZeusAR tool in terms of game development time.</t>
  </si>
  <si>
    <t>2022-01</t>
  </si>
  <si>
    <t>2901–2935</t>
  </si>
  <si>
    <t>Serious games; Augmented reality; Software design; Development process; Software products; Geometry; Augmented reality serious game; Phase analysis; Phase configurations; Serious game development; Software architecture; Software development process; Software process; Three phase; Three phasis</t>
  </si>
  <si>
    <t>DNXPK3R5</t>
  </si>
  <si>
    <t>Vogiatzidakis, Panagiotis; Koutsabasis, Panayiotis</t>
  </si>
  <si>
    <t>Mid-air gestures for manipulation of multiple targets in the physical space: Comparing the usability of two interaction models</t>
  </si>
  <si>
    <t>CHI Greece 2021: 1st International Conference of the ACM Greek SIGCHI Chapter</t>
  </si>
  <si>
    <t>978-1-4503-8578-7</t>
  </si>
  <si>
    <t>10.1145/3489410.3489425</t>
  </si>
  <si>
    <t>https://doi.org/10.1145/3489410.3489425</t>
  </si>
  <si>
    <t>The design of mid-air, accessory-free, gesture-based control of multiple targets (devices) in the physical space presents several challenges, including: (a) user control entails both addressing the device and providing input to it (either sequentially or simultaneously); (b) despite a potentially large number of devices, the gesture vocabulary must be kept small to allow for memorability; (c) the gesture set must include discrete gestures to avoid the phenomenon of Midas’ touch (accidental operations or false positive errors). We have addressed those challenges by introducing two interaction models: (a) the two-stage approach in which the user applies sequentially separate gestures for Address and then Command a device (A-t-C model), and (b) one-stage approach in which the user applies a two-handed gesture that simultaneously Addresses and Commands a device (A &amp;amp; C model). In this paper, we first describe the two interaction models and then we present their comparative usability evaluation. We have found that both interaction models present very high task success and very low false-positive and memorability errors. Furthermore, the A&amp;amp;C model is significantly more usable than A-t-C in task-time and false-negative errors (i.e. errors of no system response). These results are very encouraging for future applications of mid-air gesture control of multiple devices in the physical space.</t>
  </si>
  <si>
    <t>CHI Greece 2021</t>
  </si>
  <si>
    <t>event-place: Online (Athens, Greece), Greece</t>
  </si>
  <si>
    <t>Automation; Usability; Augmented reality; Prototyping; Smart home; Smart homes; Spatial augmented realities; Spatial Augmented Reality; Errors; Comparative evaluations; Address and command; Mid-air interaction; MS-Kinect; Projection mapping; Address and Command; Comparative evaluation; Elicitation; Interaction modeling; Interaction models; MS Kinect</t>
  </si>
  <si>
    <t>UCN6NLX5</t>
  </si>
  <si>
    <t>Alvarez, Marina; Toet, Alexander; Dijkstra-Soudarissanane, Sylvie</t>
  </si>
  <si>
    <t>Virtual Visits: UX Evaluation of a Photorealistic AR-based Video Communication Tool</t>
  </si>
  <si>
    <t>Proceedings of the 1st Workshop on Interactive EXtended Reality</t>
  </si>
  <si>
    <t>978-1-4503-9501-4</t>
  </si>
  <si>
    <t>10.1145/3552483.3556462</t>
  </si>
  <si>
    <t>https://doi.org/10.1145/3552483.3556462</t>
  </si>
  <si>
    <t>Social communication is increasingly performed through video communication (VC) tools such as Teams or Zoom. Although VC is an effective way to maintain relationships remotely, it is still limited in creating a sense of social connectedness since the interaction does not feel as natural as a physical encounter. We evaluated the user experience of a new photorealistic VC tool based on augmented reality (AR) compared with a popular VC tool (MS Teams), focusing on the feeling of social presence they provide. Participants experienced one of the systems and answered a questionnaire about their experience. In the AR condition, participants perceived a 3D image of the remote person projected in their local background (Fig.1). In the "regular video call" condition, using MS Teams, participants perceived a 2D image of the remote person in the remote background. The variables measured were social presence, interpersonal closeness, global user experience, duration of calls and perception of time, behaviour, and attitude toward the AR tool. No significant differences were found in subjective measures of social presence, interpersonal closeness, and global UX. There were also no significant differences in the duration of calls or time perception per condition. However, behavioural analysis showed that with the AR tool participants used significantly more hand gestures (non-verbal communication), showed a more relaxed attitude and laughed more frequently. Although we did not find any evidence that it provides more social presence, the AR communication tool appears to induce more natural behaviour. Both conditions received high scores on social presence and global UX. Qualitative analysis of open questions and comments showed that the human-sized image of the communication partner was the main factor driving these scores and suggested improvements for future system design.</t>
  </si>
  <si>
    <t>69–75</t>
  </si>
  <si>
    <t>IXR '22</t>
  </si>
  <si>
    <t>event-place: Lisboa, Portugal</t>
  </si>
  <si>
    <t>augmented reality; user experience; social connectedness; social presence; social xr; video-communication</t>
  </si>
  <si>
    <t>E5DH679C</t>
  </si>
  <si>
    <t>He, Linjia; Li, Hongsong; Xue, Tong; Sun, Deyuan; Zhu, Shoulun; Ding, Gangyi</t>
  </si>
  <si>
    <t>Am I in the theater? usability study of live performance based virtual reality</t>
  </si>
  <si>
    <t>Proceedings of the 24th ACM Symposium on Virtual Reality Software and Technology</t>
  </si>
  <si>
    <t>978-1-4503-6086-9</t>
  </si>
  <si>
    <t>10.1145/3281505.3281508</t>
  </si>
  <si>
    <t>https://doi.org/10.1145/3281505.3281508</t>
  </si>
  <si>
    <t>Duplicating the audience experience of an art performance with VR technology is a promising VR application, which is considered to provide better viewer experience than the conventional video. As various forms of art performances are recorded by the panoramic camera and broadcasted on the Internet, the impact of this new VR-based media to the viewers needs to be systematically studied. In this work, a two-level usability framework is proposed, which combines the traditional concepts of presence and the quality evaluation of art performances, aiming to systematically study the usability of such VR application. Both the conventional video and the panoramic video of a theatre performance were captured simultaneously, and were replayed to two groups of viewers in a cinematic setup and through an HMD respectively. The psychological measurement methods, including the questionnaire and the interview, as well as the psychophysical measurement methods, including the EEG and the motion capture techniques were both used in the study. The results show that the such VR application duplicates the live performance better by providing a higher sense of presence, higher engagement levels, and stronger desire to see live performance. For visual intensive performance contents, the new VR-based media can provide a better user experience. The future development of the new media forms based on the panoramic video technique could benefit from this work.</t>
  </si>
  <si>
    <t>VRST '18</t>
  </si>
  <si>
    <t>virtual reality; EEG; usability evaluation; live performance; viewer experience</t>
  </si>
  <si>
    <t>25YN69UB</t>
  </si>
  <si>
    <t>Bellotti, Francesco; Berta, Riccardo; De Gloria, Alessandro; D'ursi, Annamaria; Fiore, Valentina</t>
  </si>
  <si>
    <t>A serious game model for cultural heritage</t>
  </si>
  <si>
    <t>10.1145/2399180.2399185</t>
  </si>
  <si>
    <t>https://doi.org/10.1145/2399180.2399185</t>
  </si>
  <si>
    <t>Serious games present a promising opportunity for learning, but the genre still lacks methodologies and tools for efficient and low-cost production, particularly for teacher and domain experts. This article gives an authoring framework that aims to provide structured support, from content design to final implementation. In particular, we have abstracted a conceptual model—the SandBox Serious Game - which relies on a generalization of task-based learning theory. The model invites players to perform cognitive tasks contextually while exploring information-rich virtual environments. We consider it particularly suited for cultural heritage entertainment applications. The model defines games that are set in realistic virtual worlds enriched with embedded educational tasks, which we have implemented as minigames. This approach simplifies the authoring work, which can easily be supported by visual authoring tools for ontology-based urban 3D modeling and implementation tasks, thus allowing an approach similar to the mind-maps concept. We propose a top-down methodology for content preparation, starting from a city-level analysis down to the single points of interest and associated tasks, which are instances of simple predefined minigame/quiz typologies. We provide examples and discuss criteria for selecting task typologies according to the authors' cognitive targets. Finally, we discuss the results of a user test, which took place in a lab, aimed at verifying the acquisition of cultural heritage knowledge in a pleasant and engaging way. Games appear particularly suited for supporting the study of images, especially of iconography. Compared to reading text, a game forces the player to focus more strongly on problems, which favors knowledge acquisition and retention. Learning complex concepts requires an investigative attitude, which can be spurred by well-designed games. Good design involves usability, graphic appeal, appropriate content, and the presence of connections which a player must discover in the content. Players should be asked to pay attention to and reason about their whole game activity - including the relationships between the game content, the brief introduction, and concluding texts. More comprehensive tests are needed to better investigate the educational effectiveness—however, the first results are promising, especially in terms of user motivation and creation of new opportunities for learning about CH.</t>
  </si>
  <si>
    <t>2013-01</t>
  </si>
  <si>
    <t>virtual reality; Serious games; user experience; cultural heritage; user testing; content authoring; game-based learning; task-based learning</t>
  </si>
  <si>
    <t>HUA5WSUI</t>
  </si>
  <si>
    <t>Ferracani, Andrea; Faustino, Marco; Giannini, Gabriele Xavier; Landucci, Lea; Del Bimbo, Alberto</t>
  </si>
  <si>
    <t>Natural Experiences in Museums through Virtual Reality and Voice Commands</t>
  </si>
  <si>
    <t>Proceedings of the 25th ACM International Conference on Multimedia</t>
  </si>
  <si>
    <t>978-1-4503-4906-2</t>
  </si>
  <si>
    <t>10.1145/3123266.3127916</t>
  </si>
  <si>
    <t>https://doi.org/10.1145/3123266.3127916</t>
  </si>
  <si>
    <t>In this demo we present a system for immersive experiences in museums using Voice Commands (VCs) and Virtual Reality (VR). The system has been specifically designed for use by people with motor disabilities. Natural interaction is provided through Automatic Speech Recognition (ASR) and allows to experience VR environments wearing an Head Mounted Display (HMD), i.e. the Oculus Rift. Insights gathered during the implementation and results from an initial usability evaluation are reported.</t>
  </si>
  <si>
    <t>1233–1234</t>
  </si>
  <si>
    <t>MM '17</t>
  </si>
  <si>
    <t>event-place: Mountain View, California, USA</t>
  </si>
  <si>
    <t>virtual reality; Virtual reality; Helmet mounted displays; Usability evaluation; Immersive; Automatic speech recognition; Speech recognition; Cultural heritages; Head-mounted display; Head mounted displays; Cultural heritage; Motor disability; Museum experience; Natural interactions; Voice command; Voice commands; cultural heritage; museum experience; head-mounted display; automatic speech recognition; voice commands</t>
  </si>
  <si>
    <t>3SGA2HVM</t>
  </si>
  <si>
    <t>Santos, Marc Ericson C.; Taketomi, Takafumi; Sandor, Christian; Polvi, Jarkko; Yamamoto, Goshiro; Kato, Hirokazu</t>
  </si>
  <si>
    <t>A usability scale for handheld augmented reality</t>
  </si>
  <si>
    <t>Proceedings of the 20th ACM Symposium on Virtual Reality Software and Technology</t>
  </si>
  <si>
    <t>978-1-4503-3253-8</t>
  </si>
  <si>
    <t>10.1145/2671015.2671019</t>
  </si>
  <si>
    <t>https://doi.org/10.1145/2671015.2671019</t>
  </si>
  <si>
    <t>Handheld augmented reality (HAR) applications must be carefully designed and improved based on user feedback to sustain commercial use. However, no standard questionnaire considers perceptual and ergonomic issues found in HAR. We address this issue by creating a HAR Usability Scale (HARUS).To create HARUS, we performed a systematic literature review to enumerate user-reported issues in HAR applications. Based on these issues, we created a questionnaire measuring manipulability – the ease of handling the HAR system, and comprehensibility – the ease of understanding the information presented by HAR. We then provide evidences of validity and reliability of the HARUS questionnaire by applying it to three experiments. The results show that HARUS consistently correlates with other subjective and objective measures of usability, thereby supporting its concurrent validity. Moreover, HARUS obtained a good Cronbach's alpha in all three experiments, thereby demonstrating internally consistency.HARUS, as well as its decomposition into individual manipulability and comprehensibility scores, are evaluation tools that researchers and professionals can use to analyze their HAR applications. By providing such a tool, they can gain quality feedback from users to improve their HAR applications towards commercial success.</t>
  </si>
  <si>
    <t>167–176</t>
  </si>
  <si>
    <t>VRST '14</t>
  </si>
  <si>
    <t>event-place: Edinburgh, Scotland</t>
  </si>
  <si>
    <t>usability; augmented reality; evaluation method; handheld devices; user studies</t>
  </si>
  <si>
    <t>S7UIRKA2</t>
  </si>
  <si>
    <t>Doukianou, Stella; Daylamani-Zad, Damon; O’Loingsigh, Kathy</t>
  </si>
  <si>
    <t>Implementing an augmented reality and animated infographics application for presentations: effect on audience engagement and efficacy of communication</t>
  </si>
  <si>
    <t>10.1007/s11042-021-10963-4</t>
  </si>
  <si>
    <t>https://doi.org/10.1007/s11042-021-10963-4</t>
  </si>
  <si>
    <t>Presentations are the most successful and popular form of communication in business. However, the formats of presentations in business have not changed much for past few decades. The emergent and disruptive technologies such as Augmented Reality and Animated Infographics have provided potential for enhancing communications in businesses to increase engagement and therefore increasing the effectiveness of such communications. This paper focuses on the impact and effectiveness of using interactive AR in business presentations. The paper presents the design and development of our AR presentation application. Followed by a presentation of an empirical study into the usability and effectiveness of using Augmented Reality and Animated Infographics in business presentation and compares the results against the traditional slideware slides presentation approach. The results of the experiment with 94 participants are presented and analysed. The results demonstrate that the AR approach out performs the traditional methods in terms of usability, audience engagement and effectiveness of communication.</t>
  </si>
  <si>
    <t>2021-08</t>
  </si>
  <si>
    <t>30969–30991</t>
  </si>
  <si>
    <t>Usability testing; Business presentation; Empirical studies in visualization; Human computer interaction (HCI); Mixed/augmented reality</t>
  </si>
  <si>
    <t>IRY3WI6P</t>
  </si>
  <si>
    <t>Abdul Rahim, Elin; Duenser, Andreas; Billinghurst, Mark; Herritsch, Alfred; Unsworth, Keith; Mckinnon, Alan; Gostomski, Peter</t>
  </si>
  <si>
    <t>A desktop virtual reality application for chemical and process engineering education</t>
  </si>
  <si>
    <t>Proceedings of the 24th Australian Computer-Human Interaction Conference</t>
  </si>
  <si>
    <t>978-1-4503-1438-1</t>
  </si>
  <si>
    <t>10.1145/2414536.2414537</t>
  </si>
  <si>
    <t>https://doi.org/10.1145/2414536.2414537</t>
  </si>
  <si>
    <t>A desktop Virtual Reality (VR) application of a skim milk powder process has been developed. The goal was to use this application as a learning resource to expose students to processing plant environments, which are becoming increasingly difficult to visit due to availability and safety reasons. The VR application comprises 360° panorama images of the milk powder process plant, process flow diagrams (PFD), piping and instrumentation diagrams (P&amp;amp;ID), 3D drawings and additional materials such as supplemental text, videos and animations. This paper describes the VR application as well as an evaluation of the application. The results of this study show that the application was easy to use and the users were satisfied with it. The design recommendations for the development of similar VR learning applications are also discussed in this paper.</t>
  </si>
  <si>
    <t>OzCHI '12</t>
  </si>
  <si>
    <t>event-place: Melbourne, Australia</t>
  </si>
  <si>
    <t>usability; virtual reality; evaluation; educational software; engineering</t>
  </si>
  <si>
    <t>4VAFEHK5</t>
  </si>
  <si>
    <t>Hoggenmüller, Marius; Tomitsch, Martin; Hespanhol, Luke; Tran, Tram Thi Minh; Worrall, Stewart; Nebot, Eduardo</t>
  </si>
  <si>
    <t>Context-Based Interface Prototyping: Understanding the Effect of Prototype Representation on User Feedback</t>
  </si>
  <si>
    <t>Proceedings of the 2021 CHI Conference on Human Factors in Computing Systems</t>
  </si>
  <si>
    <t>978-1-4503-8096-6</t>
  </si>
  <si>
    <t>10.1145/3411764.3445159</t>
  </si>
  <si>
    <t>https://doi.org/10.1145/3411764.3445159</t>
  </si>
  <si>
    <t>The rise of autonomous systems in cities, such as automated vehicles (AVs), requires new approaches for prototyping and evaluating how people interact with those systems through context-based user interfaces, such as external human-machine interfaces (eHMIs). In this paper, we present a comparative study of three prototype representations (real-world VR, computer-generated VR, real-world video) of an eHMI in a mixed-methods study with 42 participants. Quantitative results show that while the real-world VR representation results in higher sense of presence, no significant differences in user experience and trust towards the AV itself were found. However, interview data shows that participants focused on different experiential and perceptual aspects in each of the prototype representations. These differences are linked to spatial awareness and perceived realism of the AV behaviour and its context, affecting in turn how participants assess trust and the eHMI. The paper offers guidelines for prototyping and evaluating context-based interfaces through simulations.</t>
  </si>
  <si>
    <t>CHI '21</t>
  </si>
  <si>
    <t>virtual reality; Virtual reality; User interfaces; Automated vehicles; prototyping; Prototyping; Sense of presences; User experience; Human engineering; Human Machine Interface; automated vehicles; Human-machine interfaces; Autonomous systems; Comparative studies; Computer generated; Perceptual aspects; Prototype representation; Quantitative result; User studies; user studies; human-machine interfaces; prototype representation</t>
  </si>
  <si>
    <t>68EG7776</t>
  </si>
  <si>
    <t>Fouad Amirouche, Nacim; Lafond, Marie-Christine; Lavigne, Josianne; Monette, Marc-André</t>
  </si>
  <si>
    <t>KAVA: the virtual experience of urban sharing</t>
  </si>
  <si>
    <t>CHI '13 Extended Abstracts on Human Factors in Computing Systems</t>
  </si>
  <si>
    <t>978-1-4503-1952-2</t>
  </si>
  <si>
    <t>10.1145/2468356.2468835</t>
  </si>
  <si>
    <t>https://doi.org/10.1145/2468356.2468835</t>
  </si>
  <si>
    <t>The Saint-Roch district in Québec city, has undergone several major changes in recent years, especially with the increasing number of technology companies in the area. But the individuals who work there are invisible. There is a way for workers to participate in the technoartistic identity of the neighborhood. A solution that will allow them to contribute to the history of this urban restructuring. It is by impregnated their knowledge and expertise to the physical place that technology workers will transmit their identity to the neighborhood. This concept is named KAVA.</t>
  </si>
  <si>
    <t>2591–2596</t>
  </si>
  <si>
    <t>CHI EA '13</t>
  </si>
  <si>
    <t>user experience; prototyping; augmented reality and tangible ui; concept design; design methods; entertainment; ethnography; human-centered design; interaction design; social computing; usability testing and evaluation; workplace</t>
  </si>
  <si>
    <t>74Z2DUWQ</t>
  </si>
  <si>
    <t>book</t>
  </si>
  <si>
    <t>Salvendy, Gavriel; Karwowski, Waldemar</t>
  </si>
  <si>
    <t>Advances in Cognitive Ergonomics</t>
  </si>
  <si>
    <t>1-138-11654-8</t>
  </si>
  <si>
    <t>The chapters in the book come from an international group of authors with diverse backgrounds including ergonomics, psychology, architecture, computer science, engineering, and sociology. Specific topics include biometric systems development, military command and control, cellular phone interface design, methodologies for workplace design, medical device design, cockpit display and decision tool design for pilots, driver visual and cognitive processes, and performance of inspection tasks in manufacturing operations; and extend to human-automation integration in future aviation systems, novel 3-D display technologies for enhancing information analysis, training methods for mental models, approaches to activity analysis, new research-oriented frameworks and paradigms in training, and the use of virtual reality for skill development and assessment. The book is divided into sections covering: I. Cultural Differences in Computing Systems Design II. Decision Making and Decision Support III. Desktop/Mobile Interface Design IV. Ergonomics in Design V. Ergonomics in Product Design VI. Human Factors in Aviation Systems VII. Human Factors in Driving VIII. Human Factors in Manufacturing IX. Human Factors in NextGen Operations X. Information Visualization for Situation Awareness XI. Mental Models XII. Perceptuo-Motor Skills &amp;amp; Psychophysical Assessment XIII. Task Analysis XIV. Training Technology XV. Virtual Reality for Behavior Assessment XVI. Virtual Reality for Psychomotor Training The implications of all this work include design recommendations for complex systems and commercial products, new procedures for operator training and self-regulation as well as methods for accessibility to systems, and specification of ergonomic interventions at the user. It is expected that this book will be of special value to practitioners involved in design process development, design and prototyping of systems, products and services, as well as training process design for a broad range of applications and markets in various countries. Seven other titles in the Advances in Human Factors and Ergonomics Series are:Advances in Human Factors and Ergonomics in Healthcare Advances in Applied Digital Human Modeling Advances in Cross-Cultural Decision Making Advances in Occupational, Social and Organizational Ergonomics Advances in Human Factors, Ergonomics and Safety in Manufacturing and Service Industries Advances in Ergonomics Modeling &amp;amp; Usability Evaluation Advances in Neuroergonomics and Human Factors of Special Populations</t>
  </si>
  <si>
    <t>CRC Press, Inc.</t>
  </si>
  <si>
    <t>1st</t>
  </si>
  <si>
    <t>2WDPQ7SM</t>
  </si>
  <si>
    <t>Franklin, Fernanda; Breyer, Felipe; Kelner, Judith</t>
  </si>
  <si>
    <t>Usability Heuristics for Collaborative Augmented Reality Remote Systems</t>
  </si>
  <si>
    <t>Proceedings of the 2014 Fifth International Conference on Intelligent Systems Design and Engineering Applications</t>
  </si>
  <si>
    <t>978-1-4799-4261-9</t>
  </si>
  <si>
    <t>10.1109/SVR.2014.31</t>
  </si>
  <si>
    <t>https://doi.org/10.1109/SVR.2014.31</t>
  </si>
  <si>
    <t>Recent advances in computer device design led to new research breakthroughs in the area of augmented reality(AR). A wide range of new applications emerged for use in daily tasks. Due to the AR achieved maturity and robustness, more research efforts are devoted to open challenges including application usability. As such, this article presents and adopts a number of usability heuristics for use in the particular case of collaborative distributed augmented reality systems. In order to validate the proposed heuristics, a case study for an industrial maintenance system is considered. The resulting testbed is seen as a low cost AR application scenario due to its use of off-the-shelf user mobile devices. The main contributions of the present research are: the formal process to conceive a heuristics' list, the proposed heuristics' list for collaborative remote AR systems, and a first refinement of the heuristics through an experiment with a functional prototype based on alow cost collaborative remote AR model.</t>
  </si>
  <si>
    <t>2014-05</t>
  </si>
  <si>
    <t>53–62</t>
  </si>
  <si>
    <t>ISDEA '14</t>
  </si>
  <si>
    <t>augmented reality; equipment's maintenance and inspection; remote collaboration; usability evaluation</t>
  </si>
  <si>
    <t>UNMPFIMU</t>
  </si>
  <si>
    <t>Radianti, Jaziar; Majchrzak, Tim A.; Fromm, Jennifer; Wohlgenannt, Isabell</t>
  </si>
  <si>
    <t>A systematic review of immersive virtual reality applications for higher education: Design elements, lessons learned, and research agenda</t>
  </si>
  <si>
    <t>Computers and Education</t>
  </si>
  <si>
    <t>0360-1315</t>
  </si>
  <si>
    <t>10.1016/j.compedu.2019.103778</t>
  </si>
  <si>
    <t>https://doi.org/10.1016/j.compedu.2019.103778</t>
  </si>
  <si>
    <t>2020-04</t>
  </si>
  <si>
    <t>Comput Educ</t>
  </si>
  <si>
    <t>Place: GBR Publisher: Elsevier Science Ltd.</t>
  </si>
  <si>
    <t>Virtual reality; Helmet mounted displays; Immersive virtual reality; E-learning; Design; Augmented and virtual reality; Media in education; Digital libraries; Mapping; Budget control; Head mounted displays; Information filtering; Augmented and virtual realities; Cooperative/collaborative learning; Distance education and online learning; Human–computer interface; Online learning; Research interests; Scientific digital libraries</t>
  </si>
  <si>
    <t>942HIJ6G</t>
  </si>
  <si>
    <t>Poitschke, Tony; Ablaßmeier, Markus; Reifinger, Stefan; Rigoll, Gerhard</t>
  </si>
  <si>
    <t>A multifunctional VR-simulator platform for the evaluation of automotive user interfaces</t>
  </si>
  <si>
    <t>Proceedings of the 12th International Conference on Human-Computer Interaction: Applications and Services</t>
  </si>
  <si>
    <t>978-3-540-73109-2</t>
  </si>
  <si>
    <t>This contribution presents an approach for a scientific driving simulator platform for the representation and evaluation of new driver assistance and information systems. We will give a short introduction to the used gaming engine and then present the developed components of our new driving simulation platform. For a most realistic driving behavior, we implemented an own physics-component basing on a real vehicle model. Further, the platform provides the opportunity to easily create new scenarios depending on the test setup.</t>
  </si>
  <si>
    <t>1120–1129</t>
  </si>
  <si>
    <t>HCI'07</t>
  </si>
  <si>
    <t>event-place: Beijing, China</t>
  </si>
  <si>
    <t>usability; virtual reality; evaluation; driving simulation; automotive</t>
  </si>
  <si>
    <t>YXH5VKFT</t>
  </si>
  <si>
    <t>Chen, Chwen Jen; Lau, Siew Yung; Teh, Chee Siong</t>
  </si>
  <si>
    <t>A feasible group testing framework for producing usable virtual reality learning applications</t>
  </si>
  <si>
    <t>10.1007/s10055-015-0263-7</t>
  </si>
  <si>
    <t>https://doi.org/10.1007/s10055-015-0263-7</t>
  </si>
  <si>
    <t>Designing a usable learning application is one of the key factors in ensuring effective learning. This article introduces modified group usability testing (MGUT) as a feasible framework for evaluating the usability of non-immersive virtual reality (VR) learning applications. Conventionally, usability testing of such learning applications often employs the one-to-one approach in which an evaluator conducts testing with several individual participants. As opposed to the one-to-one approach, the group approach involves several-to-many participants performing tasks simultaneously, with several evaluators observing and interacting with participants. This article describes the complete step-by-step procedure for conducting MGUT to uncover usability problems of a VR learning application that aims to educate its users on fire safety and prevention. It also proposes methods to analyze these usability problems. The effectiveness and efficiency of MGUT was then compared with DGUT, the original group testing technique and cooperative evaluation (CE), which is a typical one-to-one approach. Results indicate that all three techniques are able to reveal usability problems of different usability factors and show similar capability to discover the most critical and serious problems. MGUT is more effective than DGUT as it can collect additional usability problems of various factors and of different levels of severity. MGUT is as effective as CE as both techniques can identify usability problems which are more or less comparable in terms of quantity and quality. As for efficiency, MGUT and DGUT are more efficient than CE as these group testing approaches require lesser testing time, lesser effort in terms of the intensive interaction with participants although with slight more effort in the preparation of the physical setting. In addition, it is also obvious that MGUT and DGUT involve richer participation than CE. MGUT is also more feasible than DGUT as it allows some flexibility in the computer arrangement setting.</t>
  </si>
  <si>
    <t>2015-06</t>
  </si>
  <si>
    <t>129–144</t>
  </si>
  <si>
    <t>Virtual reality; Group usability testing; Human—computer interface; Interactive learning environments</t>
  </si>
  <si>
    <t>L6QTG8S8</t>
  </si>
  <si>
    <t>Milde, Sven; Runzheimer, Tabea; Friesen, Stefan; Peiffer, Johannes-Hubert; Höfler, Johannes-Jeremias; Geis, Kerstin; Milde, Jan-Torsten; Blum, Rainer</t>
  </si>
  <si>
    <t>Studying Multi-modal Human Robot Interaction Using a&amp;nbsp;Mobile VR Simulation</t>
  </si>
  <si>
    <t>Human-Computer Interaction: Thematic Area, HCI 2023, Held as Part of the 25th HCI International Conference, HCII 2023, Copenhagen, Denmark, July 23–28, 2023, Proceedings, Part III</t>
  </si>
  <si>
    <t>978-3-031-35601-8</t>
  </si>
  <si>
    <t>10.1007/978-3-031-35602-5_11</t>
  </si>
  <si>
    <t>https://doi.org/10.1007/978-3-031-35602-5_11</t>
  </si>
  <si>
    <t>The task of designing unequivocal communication between autonomous vehicles and humans is important, considering the supposed daily interaction which might take place in the future. Using vehicles which are still in development for a study, can be a security risk and might even endanger the subjects. At the same time, it can be a waste of resources to integrate an interaction model which might not work well. It is therefore crucial to create a safe but realistic environment, in which studies can be held. In this paper we study the interaction between humans and an autonomous vehicle called CityBot, by using self-developed VR and web-applications. We describe two conducted studies, which were focused on speech, gestures and audio signals as means of communication between both parties. We discuss the problems, as well as differences between gestures and speech for controlling the CityBot. Furthermore, we propose a prefered usage of speech and how to handle ambigious gestures.</t>
  </si>
  <si>
    <t>140–155</t>
  </si>
  <si>
    <t>VR; Human-Robot-Interaction; Usability-Testing</t>
  </si>
  <si>
    <t>IMZZ4IGC</t>
  </si>
  <si>
    <t>Kumar, Ranjitha</t>
  </si>
  <si>
    <t>Data-Driven Design: Beyond A/B Testing</t>
  </si>
  <si>
    <t>Proceedings of the 2019 Conference on Human Information Interaction and Retrieval</t>
  </si>
  <si>
    <t>978-1-4503-6025-8</t>
  </si>
  <si>
    <t>10.1145/3295750.3300046</t>
  </si>
  <si>
    <t>https://doi.org/10.1145/3295750.3300046</t>
  </si>
  <si>
    <t>A/B testing has become the de facto standard for optimizing design, helping designers craft more effective user experiences by leveraging data. A typical A/B test involves dividing user traffic between two experimental conditions (A and B), and looking for statistically significant differences in performance indicators (e.g., conversion rates) between them. While this technique is popular, there are other, powerful data-driven methods — complementary to A/B testing — that can tie design choices to desired outcomes. Mining data from existing designs can expose designers to a greater space of divergent solutions than A/B testing [1,4] ,RICO:2017. Since companies cannot predict a priori if the engineering effort for creating alternatives will be commensurate with a performance increase, they often test small changes, along gradients to local optima. With the millions of websites and mobile apps available today, it is likely that almost any UX problem a designer encounters has already been considered and solved by someone. The challenges are finding relevant existing solutions, measuring their performance, and correlating these metrics with design features. Recent systems that capture and aggregate interaction data from third-party Android apps — with zero code integration — open-source analytics that were previously locked away in each app, allowing designers to test and compare UI/UX patterns found in the wild: [2,3] 2017.Lightweight prototypes with tight user feedback loops, or experimentation engines, can bootstrap product design involving technologies that are actively being developed (e.g., artificial intelligence, virtual/augmented reality), where both use cases and capabilities are not well-understood [5]. These systems afford staged automation: initially, "Wizard of Oz” techniques can scaffold needfinding, and eventually be replaced with automated solutions informed by the collected data. For example, a chatbot deployed on social media can serve as an experimentation engine for automating fashion advice [7]. At first, a pool of personal stylists can power the chatbot to collect organic conversations revealing common fashion problems, effective interaction patterns for addressing them, and design considerations for automation. Once technologies are developed to scale useful interventions [8,9], the chatbot platform provides a testbed for iteratively refining them. Generative models trained on a set of effective design examples can support predictive workflows that allow designers to rapidly prototype new, performant solutions [6]. Models such as generative adversarial networks and variational autoencoders can produce designs based on high-level constraints, or complete them given partial specifications. For example, a mobile wireframing tool backed by such a model could suggest adding "username" and "password" input fields to a screen with a centrally placed "login" button.</t>
  </si>
  <si>
    <t>1–2</t>
  </si>
  <si>
    <t>CHIIR '19</t>
  </si>
  <si>
    <t>event-place: Glasgow, Scotland UK</t>
  </si>
  <si>
    <t>data-driven design; design mining; fashion; mobile apps; ui/ux</t>
  </si>
  <si>
    <t>TU2MYDLF</t>
  </si>
  <si>
    <t>Platt, Don; Boy, Guy A.</t>
  </si>
  <si>
    <t>Participatory design of the virtual camera for deep space exploration</t>
  </si>
  <si>
    <t>Proceedings of the International Conference on Human-Computer Interaction in Aerospace</t>
  </si>
  <si>
    <t>978-1-4503-2560-8</t>
  </si>
  <si>
    <t>10.1145/2669592.2669653</t>
  </si>
  <si>
    <t>https://doi.org/10.1145/2669592.2669653</t>
  </si>
  <si>
    <t>In this paper, a new Virtual Camera (VC) system is described that has been developed to assist astronauts in deep space exploration. Participatory design, involving users and stakeholders in all aspects of the design was used to make a system that provides a mediation environment. This environment, implemented on a tablet computer system, allows explorers in the field to share data and knowledge with those in remote command and control centers. There are other applications for this system design such as disaster response, law enforcement and aviation cockpits.</t>
  </si>
  <si>
    <t>HCI-Aero '14</t>
  </si>
  <si>
    <t>event-place: Santa Clara, California</t>
  </si>
  <si>
    <t>augmented reality; usability testing; human-computer interaction (HCI); situation awareness (SA); space exploration; tablet computing</t>
  </si>
  <si>
    <t>NKT9HYIW</t>
  </si>
  <si>
    <t>Platt, Donald; Millot, Patrick; Boy, Guy Andre</t>
  </si>
  <si>
    <t>Participatory Design of a Cooperative Exploration Mediation Tool for Human Deep Space Risk Mitigation</t>
  </si>
  <si>
    <t>11th International Conference on Engineering Psychology and Cognitive Ergonomics - Volume 8532</t>
  </si>
  <si>
    <t>978-3-319-07514-3</t>
  </si>
  <si>
    <t>10.1007/978-3-319-07515-0_37</t>
  </si>
  <si>
    <t>https://doi.org/10.1007/978-3-319-07515-0_37</t>
  </si>
  <si>
    <t>This work describes the participatory design and development of a Virtual Camera VC system to improve astronaut and mission operations exploration efficiency and cooperation while exploring in deep space. Advanced interaction media capabilities can improve exploration efficiency and cooperation as the distribution of human space exploration roles change in deep space exploration. This capability was developed in a tablet-based application that was evaluated in the field. The VC can minimize the risk of astronauts exploring unknown reaches of the solar system with limited previous knowledge of the area under exploration. Ground-based expert knowledge can be captured and be easily assessable in the remote deep space environment with the VC. The human-centered method of development and testing is described as well as results.</t>
  </si>
  <si>
    <t>363–374</t>
  </si>
  <si>
    <t>Augmented Reality; Usability Testing; Human-Computer Interaction HCI; Situation Awareness SA; Space Exploration; Tablet Computing</t>
  </si>
  <si>
    <t>WK2LVT6A</t>
  </si>
  <si>
    <t>Boy, Guy Andre; Platt, Donald</t>
  </si>
  <si>
    <t>A situation awareness assistant for human deep space exploration</t>
  </si>
  <si>
    <t>Proceedings of the 15th International Conference on Human-Computer Interaction: Interaction Modalities and Techniques - Volume Part IV</t>
  </si>
  <si>
    <t>978-3-642-39329-7</t>
  </si>
  <si>
    <t>10.1007/978-3-642-39330-3_68</t>
  </si>
  <si>
    <t>https://doi.org/10.1007/978-3-642-39330-3_68</t>
  </si>
  <si>
    <t>This paper presents the development and testing of a Virtual Camera (VC) system to improve astronaut and mission operations situation awareness while exploring other planetary bodies. In this embodiment, the VC is implemented using a tablet-based computer system to navigate through interactive database application. It is claimed that the advanced interaction media capability of the VC can improve situation awareness as the distribution of human space exploration roles change in deep space exploration. The VC is being developed and tested for usability and capability to improve situation awareness. Work completed thus far as well as what is needed to complete the project will be described. Planned testing will also be described.</t>
  </si>
  <si>
    <t>629–636</t>
  </si>
  <si>
    <t>HCI'13</t>
  </si>
  <si>
    <t>event-place: Las Vegas, NV</t>
  </si>
  <si>
    <t>FL7EYFCF</t>
  </si>
  <si>
    <t>Zhang, Xuesong; Simeone, Adalberto L.</t>
  </si>
  <si>
    <t>Using the Think Aloud Protocol in an Immersive Virtual Reality Evaluation of a Virtual Twin</t>
  </si>
  <si>
    <t>Proceedings of the 2022 ACM Symposium on Spatial User Interaction</t>
  </si>
  <si>
    <t>978-1-4503-9948-7</t>
  </si>
  <si>
    <t>10.1145/3565970.3567706</t>
  </si>
  <si>
    <t>https://doi.org/10.1145/3565970.3567706</t>
  </si>
  <si>
    <t>Employing virtual prototypes and immersive Virtual Reality (VR) in usability evaluation can save time and speed up the iteration process during the design process. However, it is still unclear whether we can use conventional usability evaluation methods in VR and obtain results comparable to performing the evaluation on a physical prototype. Hence, we conducted a user study with 24 participants, where we compared the results obtained by using the Think Aloud Protocol to inspect an everyday product and its virtual twin. Results show that more than 60% of the reported usability problems were shared by both the physical and virtual prototype, and the in-depth qualitative analysis further highlights the potential of immersive VR evaluations. We report on the lessons we learned for designing and implementing virtual prototypes in immersive VR evaluations.</t>
  </si>
  <si>
    <t>SUI '22</t>
  </si>
  <si>
    <t>event-place: Online, CA, USA</t>
  </si>
  <si>
    <t>VR; Usability Evaluation; Think Aloud Protocol; Virtual Twin</t>
  </si>
  <si>
    <t>RTWS79KD</t>
  </si>
  <si>
    <t>Bugarić, Marin; Jakovčević, Toni; Stipaničev, Darko</t>
  </si>
  <si>
    <t>Adaptive estimation of visual smoke detection parameters based on spatial data and fire risk index</t>
  </si>
  <si>
    <t>Computer Vision and Image Understanding</t>
  </si>
  <si>
    <t>1077-3142</t>
  </si>
  <si>
    <t>10.1016/j.cviu.2013.10.003</t>
  </si>
  <si>
    <t>https://doi.org/10.1016/j.cviu.2013.10.003</t>
  </si>
  <si>
    <t>Standard wildfire smoke detection systems detect fires using remote cameras located at observation posts. Images from the cameras are analyzed using standard computer vision techniques, and human intervention is required only in situations in which the system raises an alarm. The number of alarms depends largely on manually set detection sensitivity parameters. One of the primary drawbacks of this approach is the false alarm rate, which impairs the usability of the system. In this paper, we present a novel approach using GIS and augmented reality to include the spatial and fire risk data of the observed scene. This information is used to improve the reliability of the existing systems through automatic parameter adjustment. For evaluation, three smoke detection methods were improved using this approach and compared to the standard versions. The results demonstrated significant improvement in different smoke detection aspects, including detection range, rate of correct detections and decrease in the false alarm rate.</t>
  </si>
  <si>
    <t>2014-01</t>
  </si>
  <si>
    <t>184–196</t>
  </si>
  <si>
    <t>Place: USA Publisher: Elsevier Science Inc.</t>
  </si>
  <si>
    <t>Augmented reality; Geographic information systems; Errors; Image analysis; Cameras; GIS; Adaptive estimation; Computer vision techniques; Detection sensitivity; Fires; Human intervention; Parameter adjustments; Risk perception; Smoke detection; Smoke detectors; Standard versions; Wildfire</t>
  </si>
  <si>
    <t>TPW5BT5L</t>
  </si>
  <si>
    <t>Roberts, Scott; Patterson, Dale</t>
  </si>
  <si>
    <t>Virtual weather systems: measuring impact within videogame environments</t>
  </si>
  <si>
    <t>Proceedings of the Australasian Computer Science Week Multiconference</t>
  </si>
  <si>
    <t>978-1-4503-4768-6</t>
  </si>
  <si>
    <t>10.1145/3014812.3014878</t>
  </si>
  <si>
    <t>https://doi.org/10.1145/3014812.3014878</t>
  </si>
  <si>
    <t>This paper describes a study of the impact of rich weather systems within interactive virtual environments. Increasing realism within videogames creates the necessity for more precise simulation of "real-life" environments. To experimentally test the value of weather, two videogames were developed to explore the role of weather in the perception of immersion and realism of the virtual environment. Each environment was built using the same virtual space, edited to portray different levels of weather. The first videogame (the control environment) contained a static weather system that consisted of blue skies and limited clouds that did not change. The second videogame was designed specifically to mimic a changing storm. The extended graphics, used to simulate this environment included rain, dark clouds, puddles, trees moving in the wind, flashes of lightning and audible thunder. An experimental randomized control trial of 37 participants was carried out and involved each participant engaging with one videogames (control or rich weather simulation). Results from the trial showed the rich weather simulation performed better in terms of immersion and realism whilst not changing the playability or environment factors. The results also indicate a strong preference for the rich weather simulation in direct comparison to a static environment.</t>
  </si>
  <si>
    <t>ACSW '17</t>
  </si>
  <si>
    <t>event-place: Geelong, Australia</t>
  </si>
  <si>
    <t>virtual reality; virtual environments; 3-dimensional game environments; game usability testing; game weather systems; human computer interfaces; user immersion; weather simulation; weather systems</t>
  </si>
  <si>
    <t>WPYFGGIY</t>
  </si>
  <si>
    <t>Kaufmann, Hannes; Dünser, Andreas</t>
  </si>
  <si>
    <t>Summary of usability evaluations of an educational augmented reality application</t>
  </si>
  <si>
    <t>Proceedings of the 2nd International Conference on Virtual Reality</t>
  </si>
  <si>
    <t>978-3-540-73334-8</t>
  </si>
  <si>
    <t>We summarize three evaluations of an educational augmented reality application for geometry education, which have been conducted in 2000, 2003 and 2005 respectively. Repeated formative evaluations with more than 100 students guided the redesign of the application and its user interface throughout the years. We present and discuss the results regarding usability and simulator sickness providing guidelines on how to design augmented reality applications utilizing head-mounted displays.</t>
  </si>
  <si>
    <t>660–669</t>
  </si>
  <si>
    <t>ICVR'07</t>
  </si>
  <si>
    <t>augmented reality; usability engineering; formative evaluation; geometry education</t>
  </si>
  <si>
    <t>2DYKQLG6</t>
  </si>
  <si>
    <t>Using Heuristic Evaluation in Immersive Virtual Reality Evaluation</t>
  </si>
  <si>
    <t>Proceedings of the 20th International Conference on Mobile and Ubiquitous Multimedia</t>
  </si>
  <si>
    <t>978-1-4503-8643-2</t>
  </si>
  <si>
    <t>10.1145/3490632.3497863</t>
  </si>
  <si>
    <t>https://doi.org/10.1145/3490632.3497863</t>
  </si>
  <si>
    <t>Previous works show that virtual reality itself can be used as a medium in which to stage an experimental evaluation. However, it is still unclear whether conventional usability evaluation methods can directly be applied to virtual reality evaluations and whether they will lead to similar insights when compared to equivalent real-world lab studies. Therefore, we conducted a user study with nine participants, comparing Heuristic Evaluation (HE) for the evaluations of a novel smart artefact. We asked participants to evaluate the physical prototype and their virtual counterparts in the real-world and the virtual environment, respectively. Results show the HE have similar performance when evaluating artefacts usability in VR and real-world in terms of identified usability problems. The VR implementation has an impact on the immersive VR evaluation result.</t>
  </si>
  <si>
    <t>223–225</t>
  </si>
  <si>
    <t>MUM '21</t>
  </si>
  <si>
    <t>event-place: Leuven, Belgium</t>
  </si>
  <si>
    <t>VR; Usability Evaluation; Heuristic Evaluation</t>
  </si>
  <si>
    <t>NBFGQQKA</t>
  </si>
  <si>
    <t>Karoulis, Athanasis; Sylaiou, Stella; White, Martin</t>
  </si>
  <si>
    <t>Usability Evaluation of a Virtual Museum Interface</t>
  </si>
  <si>
    <t>Informatica</t>
  </si>
  <si>
    <t>0868-4952</t>
  </si>
  <si>
    <t>The Augmented Representation of Cultural Objects (ARCO) system provides software and interface tools to museum curators to develop virtual museum exhibitions, as well as a virtual environment for museum visitors over the World Wide Web or in informative kiosks. The main purpose of the system is to offer an enhanced educative and entertaining experience to virtual museum visitors. In order to assess the usability of the system, two approaches have been employed: a questionnaire based survey and a Cognitive Walkthrough session. Both approaches employed expert evaluators, such as domain experts and usability experts. The result of this study shows a fair performance of the followed approach, as regards the consumed time, financial and other resources, as a great deal of usability problems has been uncovered and many aspects of the system have been investigated. The knowledge gathered aims at creating a conceptual framework for diagnose usability problems in systems in the area of Virtual Cultural Heritage.</t>
  </si>
  <si>
    <t>2006-08</t>
  </si>
  <si>
    <t>363–380</t>
  </si>
  <si>
    <t>augmented reality; usability evaluation; cognitive walkthrough; museum interface</t>
  </si>
  <si>
    <t>KAN6LJVW</t>
  </si>
  <si>
    <t>Galambos, Péter; Csapó, Ádám; Zentay, Péter; Fülöp, István Marcell; Haidegger, Tamás; Baranyi, Péter; Rudas, Imre J.</t>
  </si>
  <si>
    <t>Design, programming and orchestration of heterogeneous manufacturing systems through VR-powered remote collaboration</t>
  </si>
  <si>
    <t>Robot. Comput.-Integr. Manuf.</t>
  </si>
  <si>
    <t>10.1016/j.rcim.2014.08.012</t>
  </si>
  <si>
    <t>https://doi.org/10.1016/j.rcim.2014.08.012</t>
  </si>
  <si>
    <t>Modern manufacturing systems are often composed of a variety of highly customized units and specifically designed manufacturing cells. Optimization of assembly and training of staff requires a series of demo installations and excessive use of costly operational resources. In some cases, components are located at different sites, making the orchestration of the whole system even more difficult.Virtual Reality (VR) collaboration environments offer a solution by enabling high fidelity testing and training of complex manufacturing systems. On the other hand, such platforms are difficult to implement in an engineering perspective, as they are required to provide reliable, standard interfaces towards both robotic components and human operators.The VirCA (Virtual Collaboration Arena) platform is a software framework that supports various means of collaboration through the use of 3D augmented/virtual reality as a communication medium. VirCA offers functions for the high-level interoperability of heterogeneous components in a wide range of domains, spanning from research &amp;amp; development, through remote education to orchestration and management of industrial processes in manufacturing applications. This paper provides an overview of the industrial requirements behind high-fidelity virtual collaboration and demonstrates how the VirCA platform meets these requirements. Use cases are provided to illustrate the usability of the platform. HighlightsThe paper identifies the synergies of recent advances in Future Internet and ICT.Surveys the need of high-fidelity virtual collaboration for industrial robotics.Introduces the VirCA platform as a remote collaboration and orchestration framework.Shows the integration of ontologies and CogInfoCom methods into industrial setups.Presents use case examples of knowledge-driven automation scenarios based on VirCA.</t>
  </si>
  <si>
    <t>68–77</t>
  </si>
  <si>
    <t>Virtual commissioning; Cognitive infocommunications; Future internet; Mixed virtual and physical reality; Remote collaboration; Virtual reality/augmented reality</t>
  </si>
  <si>
    <t>JCHYYNGQ</t>
  </si>
  <si>
    <t>Roebuck, Kevin</t>
  </si>
  <si>
    <t>Software Testing: High-impact Strategies - What You Need to Know Definitions, Adoptions, Impact, Benefits, Maturity, Vendors</t>
  </si>
  <si>
    <t>1-74304-476-3</t>
  </si>
  <si>
    <t>Software testing is an investigation conducted to provide stakeholders with information about the quality of the product or service under test. Software testing also provides an objective, independent view of the software to allow the business to appreciate and understand the risks of software implementation. Test techniques include, but are not limited to, the process of executing a program or application with the intent of finding software bugs (errors or other defects). This book is your ultimate resource for Software Testing. Here you will find the most up-to-date information, analysis, background and everything you need to know. In easy to read chapters, with extensive references and links to get you to know all there is to know about Software Testing right away, covering: Software testing, Acceptance testing, Ad hoc testing, Agile testing, All-pairs testing, American Software Testing Qualifications Board, Api Sanity Autotest, Association for Software Testing, Attack patterns, Augmented Reality-based testing, Australian and New Zealand Testing Board, Automated Testing Framework, Avalanche (dynamic analysis tool), Bebugging, Behavior Driven Development, Black-box testing, Block design, Boundary case, Boundary testing, Boundary-value analysis, Browser speed test, Bs 7925-1, Bs 7925-2, Bug bash, Build verification test, Ca/Eztest, Cause-effect graph, Centercode, Characterization test, Cloud testing, Code coverage, Code integrity, Codenomicon, Compatibility testing, Component-Based Usability Testing, Conference Room Pilot, Conformance testing, Core Security, Corner case, Daikon (system), Data-driven testing, Decision table, Decision-to-decision path, Design predicates, Development, testing, acceptance and production, DeviceAnywhere, Dry run (testing), Dynamic program analysis, Dynamic testing, Edge case, Endeavour Software Project Management,</t>
  </si>
  <si>
    <t>Tebbo</t>
  </si>
  <si>
    <t>Y4FYC9JB</t>
  </si>
  <si>
    <t>Suomela, Riku; Lehikoinen, Juha; Salminen, Ilkka</t>
  </si>
  <si>
    <t>A System for Evaluating Augmented Reality User Interfaces in Wearable Computers</t>
  </si>
  <si>
    <t>Proceedings of the 5th IEEE International Symposium on Wearable Computers</t>
  </si>
  <si>
    <t>0-7695-1318-2</t>
  </si>
  <si>
    <t>Usability tests with wearable computers are difficult to conduct due to the nature of wearable computers. Wearable computers are intended for personal use and the test supervisor does not know exactly what the test subject is currently seeing in augmented reality through the head-worn display of the wearable computer. Due to this personal nature, the concepts of traditional usability testing need some rethinking. This paper presents a combination of techniques that connects the computers of the test subject and the supervisor. Both of the computers share the same view of augmented reality and the supervisor knows exactly what the user is doing and what state the computer is in. All actions and sensor data are also recorded for later analysis. Complete usability tests have been made with this system and the system fulfilled its goals</t>
  </si>
  <si>
    <t>ISWC '01</t>
  </si>
  <si>
    <t>augmented reality; usability testing; telepresence; wearable computer</t>
  </si>
  <si>
    <t>C89KFACN</t>
  </si>
  <si>
    <t>Yang, Ungyeon; Jo, Dongsik; Son, Wooho</t>
  </si>
  <si>
    <t>Uvmode: usability verification mixed reality system for mobile devices</t>
  </si>
  <si>
    <t>CHI '08 Extended Abstracts on Human Factors in Computing Systems</t>
  </si>
  <si>
    <t>978-1-60558-012-8</t>
  </si>
  <si>
    <t>10.1145/1358628.1358893</t>
  </si>
  <si>
    <t>https://doi.org/10.1145/1358628.1358893</t>
  </si>
  <si>
    <t>UVMODE is a mixed reality based usability evaluation system for mobile information device development. The system contributes to increasing efficiency of the usability evaluation process by replacing real products with virtual models. With our system, users can change the design of a virtual product easily, and investigate how it affects its usability. While users can review and test the virtual product by manipulating it with MR interfaces, the system also provides evaluation tools for measuring objective usability measures, including estimated design quality and users' hand load. In this paper, we present the system design and implementation details of our system, and discuss how it could improve the current usability evaluation processes held in mobile information device industry.</t>
  </si>
  <si>
    <t>3573–3578</t>
  </si>
  <si>
    <t>CHI EA '08</t>
  </si>
  <si>
    <t>event-place: Florence, Italy</t>
  </si>
  <si>
    <t>mixed reality; usability test; affective engineering; design reviewing; operation simulation; photo-realistic rendering; product-life-cycle; tangible interface</t>
  </si>
  <si>
    <t>BC2UDE2A</t>
  </si>
  <si>
    <t>Long, Xingyu; Mayer, Sven; Chiossi, Francesco</t>
  </si>
  <si>
    <t>Multimodal Detection of External and Internal Attention in Virtual Reality using EEG and Eye Tracking Features</t>
  </si>
  <si>
    <t>Proceedings of Mensch Und Computer 2024</t>
  </si>
  <si>
    <t>979-8-4007-0998-2</t>
  </si>
  <si>
    <t>10.1145/3670653.3670657</t>
  </si>
  <si>
    <t>https://doi.org/10.1145/3670653.3670657</t>
  </si>
  <si>
    <t>Future VR environments will sense users’ context, enabling a wide range of intelligent interactions, thus enabling diverse applications and improving usability through attention-aware VR systems. However, attention-aware VR systems based on EEG data suffer from long training periods, hindering generalizability and widespread adoption. At the same time, there remains a gap in research regarding which physiological features (EEG and eye tracking) are most effective for decoding attention direction in the VR paradigm. We addressed this issue by evaluating several classification models using EEG and eye tracking data. We recorded that training data simultaneously during tasks that required internal attention in an N-Back task or external attention allocation in Visual Monitoring. We used linear and deep learning models to compare classification performance under several uni- and multimodal feature sets alongside different window sizes. Our results indicate that multimodal features improve prediction for classical and modern classification models. We discuss approaches to assess the importance of physiological features and achieve automatic, robust, and individualized feature selection.</t>
  </si>
  <si>
    <t>29–43</t>
  </si>
  <si>
    <t>MuC '24</t>
  </si>
  <si>
    <t>event-place: Karlsruhe, Germany</t>
  </si>
  <si>
    <t>Virtual Reality; Virtual environments; Virtual reality; Machine Learning; Machine-learning; Deep learning; Contrastive Learning; Eye-tracking; Attention; Classification models; EEG; Eye Tracking; Multimodal detection; Multimodal features; Physiological computing; Physiological Computing; Physiological features; Physiological models; Tracking feature; VR systems</t>
  </si>
  <si>
    <t>IP2823ZI</t>
  </si>
  <si>
    <t>Helmert, Robin; Hardes, Tobias; Yigitbas, Enes</t>
  </si>
  <si>
    <t>Design and Evaluation of an AR Voice-based Indoor UAV Assistant for Smart Home Scenarios</t>
  </si>
  <si>
    <t>10.1145/3607822.3614522</t>
  </si>
  <si>
    <t>https://doi.org/10.1145/3607822.3614522</t>
  </si>
  <si>
    <t>As technology advances, Unmanned Aerial Vehicles (UAVs) have emerged as an innovative solution to a variety of problems in many fields. Automated control of UAVs is most common in large area operations, but they may also increase the versatility of smart home compositions by acting as a physical helper. For example, a voice-controlled UAV could act as an intelligent aerial assistant that can be seamlessly integrated into smart home systems. In this paper, we present a novel Augmented Reality (AR)-based UAV control that provides high-level control over a UAV by automating common UAV missions. In our work, we enable users to operate a small UAV hands-free using only a small set of voice commands. To help users identify the targets, and to understand the UAV’s intentions, targets within the user’s field of vision are highlighted in an AR interface. We evaluate our approach in a user study (n=26) regarding usability, physical and mental demand, as well as a focus on the users’ preferences. Our study showed that the use of the proposed control was not only accepted, but some users stated that they would use such a system at home to help with some tasks at home.</t>
  </si>
  <si>
    <t>Automation; Augmented reality; Smart homes; Aerial vehicle; Aircraft control; Antennas; AR assistance; Augmented reality assistance; Automated control; Design and evaluations; Innovative solutions; Technology advances; UAV control; Unmanned aerial vehicle control; Unmanned aerial vehicles (UAV); Usability Test; Usability tests; Vehicle Control</t>
  </si>
  <si>
    <t>DZ6N8S8G</t>
  </si>
  <si>
    <t>Marín, R.; Sanz, P. J.; Del Pobil, A. P.</t>
  </si>
  <si>
    <t>The UJI Online Robot: An Education and Training Experience</t>
  </si>
  <si>
    <t>Autonomous Robots</t>
  </si>
  <si>
    <t>0929-5593</t>
  </si>
  <si>
    <t>10.1023/A:1026220621431</t>
  </si>
  <si>
    <t>https://doi.org/10.1023/A:1026220621431</t>
  </si>
  <si>
    <t>This paper describes a complete vision-based online robot system that allows controlling both an educational and an industrial robot via web. We address some of the limitations of current similar systems particularly concerning the user interface. Some of its novel features are: its adjustable autonomy, so that the user can decide the right level of interaction from high-level voice commands down to mouse clicks, reducing in this way the cognitive fatigue resulting from remote operation; the interface is predictive, by using a 3D virtual environment endowed with augmented reality capabilities, the user can predict the results of the actions before sending the command to the real robot. Thus, network bandwidth is saved and off-line task specification is possible. This high level interaction is possible thanks to some built-in modules for performing basic tasks such as automatic object recognition, image processing, autonomous grasp determination and speech recognition. Finally, the system has been tested by means of an application in the Education and Training domain. One hundred undergraduate students have been using the web-based interface in order to program “Pick and Place” operations with the system. The results show performance, statistics, connection rates, and the students' opinions, as a way of evaluating the convenience and usability of the user interface.</t>
  </si>
  <si>
    <t>2003-11</t>
  </si>
  <si>
    <t>283–297</t>
  </si>
  <si>
    <t>Auton Robots</t>
  </si>
  <si>
    <t>Performance; Education; Personnel training; human-robot interaction; Gesture recognition; Statistical tests; Internet; Human-robot interaction; Speech communication; Remote control; Robotics; training; Bandwidth; Education &amp; training; Interfaces (computer); Online robots; Task specification; education &amp;amp; online robots; task specification</t>
  </si>
  <si>
    <t>VFH45ZTF</t>
  </si>
  <si>
    <t>Swan II, J. Edward; Gabbard, Joseph L.; Hix, Deborah; Schulman, Robert S.; Kim, Keun Pyo</t>
  </si>
  <si>
    <t>A Comparative Study of User Performance in a Map-Based Virtual Environment</t>
  </si>
  <si>
    <t>Proceedings of the IEEE Virtual Reality 2003</t>
  </si>
  <si>
    <t>0-7695-1882-6</t>
  </si>
  <si>
    <t>We present a comparative study of user performance withtasks involving navigation, visual search, and geometricmanipulation, in a map-based battlefield visualizationvirtual environment (VE). Specifically, our experimentcompared user performance of the same task across fourdifferent VE platforms: desktop, cave, workbench, andwall. Independent variables were platform type, stereopsis(stereo, mono), movement control mode (rate, position),and frame of reference (egocentric, exocentric).Overall results showed that users performed tasks fastestusing the desktop and slowest using the workbench.Other results are detailed below. Notable is that we designedour task in an application context, with taskingmuch closer to how users would actually use a real-worldbattlefield visualization system. This is very uncommonfor comparative studies, which are usually designed withabstract tasks to minimize variance. This is, we believe,one of the first and most complex studies to comparativelyexamine, in an application context, this many key variablesaffecting VE user interface design.</t>
  </si>
  <si>
    <t>VR '03</t>
  </si>
  <si>
    <t>virtual reality; user-centered design; virtual environments; usability engineering; formative evaluation; expertheuristic evaluation; summativeevaluation.; usabilityevaluation; user assessment; user interfaces; userinteraction</t>
  </si>
  <si>
    <t>BQ8B4Y58</t>
  </si>
  <si>
    <t>Kim, Ted; Arconada-Alvarez, Santiago; Choi, Young Mi</t>
  </si>
  <si>
    <t>Challenges and Workarounds of Conducting Augmented Reality Usability Tests Remotely a Case Study</t>
  </si>
  <si>
    <t>HCI International 2021 - Late Breaking Papers: Design and User Experience: 23rd HCI International Conference, HCII 2021, Virtual Event, July 24–29, 2021, Proceedings</t>
  </si>
  <si>
    <t>978-3-030-90237-7</t>
  </si>
  <si>
    <t>10.1007/978-3-030-90238-4_6</t>
  </si>
  <si>
    <t>https://doi.org/10.1007/978-3-030-90238-4_6</t>
  </si>
  <si>
    <t>It has been demonstrated that virtual prototypes can be used productively in usability testing. Virtual prototypes, Augmented Reality (AR) in particular, has received some focus as it combines both the real and virtual worlds and because platforms capable of supporting AR have become more ubiquitous.This paper aims to explore the challenges of using AR to conduct usability testing in a remote delivery format. It presents a use case examination of the use of an AR tool to gather usability assessment data of a design prototype in a remote (distanced) format. An interview was conducted with those involved in conducting the test to understand issues related to the utilization of hardware provided by the usability test taker; the use of screen sharing to communicate instructions; challenges to efficiently gathering accurate observational data; and issues related to variability in hardware setup, consistency of the AR experience, and other environmental factors.The results suggest that an approach for utilizing AR for remote usability testing was feasible, but many challenges and frustrations exist. Some of these related to communication with the participants, lack of motivation, difficulties extrapolating the prototype to a real setting, and technical issues. Usability test participants were often more interested in simply completing assigned tasks rather than exploring the tool or product in more detail that often happens in person. Other observations included some limitations in AR technology itself such as level of immersion (ability to accurately visualize the product). Challenges due to internet connectivity between the facilitator and tester at time affected the ability to effectively direct the testing session. Future work should investigate new tools and approaches for mitigating current challenges and experimentally compare in person versus remote testing outcomes.</t>
  </si>
  <si>
    <t>63–71</t>
  </si>
  <si>
    <t>U3EVIUIY</t>
  </si>
  <si>
    <t>Hix, Deborah; Swan, J. Edward; Gabbard, Joseph L.; McGee, Mike; Durbin, Jim; King, Tony</t>
  </si>
  <si>
    <t>User-Centered Design and Evaluation of a Real-Time Battlefield Visualization Virtual Environment</t>
  </si>
  <si>
    <t>Proceedings of the IEEE Virtual Reality</t>
  </si>
  <si>
    <t>0-7695-0093-5</t>
  </si>
  <si>
    <t>The ever-increasing power of computers and hardware rendering systems has, to date, primarily motivated the creation of visually rich and perceptually realistic virtual environment (VE) applications. Comparatively very little effort has been expended on the user interaction components of VEs. As a result, VE user interfaces are often poorly designed and are rarely evaluated with users. Although usability engineering is a newly emerging facet of VE development, user-centered design and usability evaluation in VEs as a practice still lags far behind what is needed.This paper presents a structured, iterative approach for the user-centered design and evaluation of VE user interaction. This approach consists of the iterative use of expert heuristic evaluation, followed by formative usability evaluation, followed by summative evaluation. We describe our application of this approach to a real-world VE for battlefield visualization, describe the resulting series of design iterations, and present evidence that this approach provides a cost-effective strategy for assessing and iteratively improving user interaction design in VEs. This paper is among the first to report applying an iterative, structured, user-centered design and evaluation approach to VE user interaction design.</t>
  </si>
  <si>
    <t>VR '99</t>
  </si>
  <si>
    <t>virtual reality; user-centered design; usability evaluation; virtual environments; usability engineering; user assessment; user interfaces; expert heuristic evaluation; formative evaluation.; user interaction</t>
  </si>
  <si>
    <t>RD76TVS3</t>
  </si>
  <si>
    <t>Anggraini, Lisa; Santoso, Meilinda; Sunardi</t>
  </si>
  <si>
    <t>UX Analysis of Augmented Reality in E-Commerce Marketing Using the System Usability Scale and Usability Testing Method</t>
  </si>
  <si>
    <t>2024 10th International HCI and UX Conference in Indonesia (CHIuXiD)</t>
  </si>
  <si>
    <t>979-8-3503-8043-9</t>
  </si>
  <si>
    <t>10.1109/CHIuXiD64022.2024.10860502</t>
  </si>
  <si>
    <t>https://ieeexplore.ieee.org/document/10860502/</t>
  </si>
  <si>
    <t>72-77</t>
  </si>
  <si>
    <t>IEEE</t>
  </si>
  <si>
    <t>Jakarta, Indonesia</t>
  </si>
  <si>
    <t>https://doi.org/10.15223/policy-029</t>
  </si>
  <si>
    <t>RBIZ8XGT</t>
  </si>
  <si>
    <t>Ahmed Alnagrat, Ahmed Jamah; Ismail Alkhallas, Muhannad; Imhmed Mohamed, Abdalslam S; Che Ismail, Rizalafande; Syed Idrus, Syed Zulkarnain; Salem Saed, Halifah</t>
  </si>
  <si>
    <t>Virtual Reality Semiconductor Laboratory: Usability Testing to Improve User Experience (UX) in Virtual Environments</t>
  </si>
  <si>
    <t>2023 IEEE 3rd International Maghreb Meeting of the Conference on Sciences and Techniques of Automatic Control and Computer Engineering (MI-STA)</t>
  </si>
  <si>
    <t>979-8-3503-1989-7</t>
  </si>
  <si>
    <t>10.1109/MI-STA57575.2023.10169788</t>
  </si>
  <si>
    <t>https://ieeexplore.ieee.org/document/10169788/</t>
  </si>
  <si>
    <t>469-473</t>
  </si>
  <si>
    <t>Virtual Reality Semiconductor Laboratory</t>
  </si>
  <si>
    <t>Benghazi, Libya</t>
  </si>
  <si>
    <t>SD7TJCH7</t>
  </si>
  <si>
    <t>Ramli, Roslinda; Zaman, Halimah Badioze</t>
  </si>
  <si>
    <t>Designing usability evaluation methodology framework of Augmented Reality basic reading courseware (AR BACA SindD) for Down Syndrome learner</t>
  </si>
  <si>
    <t>Proceedings of the 2011 International Conference on Electrical Engineering and Informatics</t>
  </si>
  <si>
    <t>978-1-4577-0753-7</t>
  </si>
  <si>
    <t>10.1109/ICEEI.2011.6021807</t>
  </si>
  <si>
    <t>http://ieeexplore.ieee.org/document/6021807/</t>
  </si>
  <si>
    <t>2011-07</t>
  </si>
  <si>
    <t>Bandung, Indonesia</t>
  </si>
  <si>
    <t>2011 International Conference on Electrical Engineering and Informatics (ICEEI)</t>
  </si>
  <si>
    <t>AILP6QZU</t>
  </si>
  <si>
    <t>Gan, Baiqiang; Xia, Panli</t>
  </si>
  <si>
    <t>Research on Automatic Generation Method of Virtual Reality Scene and Design of User Experience Evaluation</t>
  </si>
  <si>
    <t>2020 International Conference on Information Science, Parallel and Distributed Systems (ISPDS)</t>
  </si>
  <si>
    <t>978-1-7281-9668-8</t>
  </si>
  <si>
    <t>10.1109/ISPDS51347.2020.00071</t>
  </si>
  <si>
    <t>https://ieeexplore.ieee.org/document/9258546/</t>
  </si>
  <si>
    <t>2020-08</t>
  </si>
  <si>
    <t>308-312</t>
  </si>
  <si>
    <t>Xi'an, China</t>
  </si>
  <si>
    <t>https://ieeexplore.ieee.org/Xplorehelp/downloads/license-information/IEEE.html</t>
  </si>
  <si>
    <t>Virtual reality system; Virtual reality; user experience; User experience; Human computer interaction; User experience evaluations; design evaluation; Design evaluation; artificial neural network; Automatic Generation; Continuous development; Distributed database systems; Real-time rendering; Real-time updates; Reliable evaluation method; scene generation</t>
  </si>
  <si>
    <t>Proceedings - 2020 International Conference on Information Science, Parallel and Distributed Systems, ISPDS 2020</t>
  </si>
  <si>
    <t>M9V853HD</t>
  </si>
  <si>
    <t>Anderson, Sarah E.</t>
  </si>
  <si>
    <t>Virtual Reality for Safety and Independence in Everyday Activities</t>
  </si>
  <si>
    <t>2020 IEEE Conference on Virtual Reality and 3D User Interfaces Abstracts and Workshops (VRW)</t>
  </si>
  <si>
    <t>978-1-7281-6532-5</t>
  </si>
  <si>
    <t>10.1109/VRW50115.2020.00118</t>
  </si>
  <si>
    <t>https://ieeexplore.ieee.org/document/9090475/</t>
  </si>
  <si>
    <t>2020-03</t>
  </si>
  <si>
    <t>533-534</t>
  </si>
  <si>
    <t>Atlanta, GA, USA</t>
  </si>
  <si>
    <t>ZM9ZQYU9</t>
  </si>
  <si>
    <t>Farinazzo Martins, Valeria; Sanches, Gabriel Brugnolli; Almeida, Natalia Galotto De; Eliseo, Maria Amelia; Kawamoto, André Luiz Satoshi</t>
  </si>
  <si>
    <t>Usability Evaluation of an Augmented Reality Children's Book</t>
  </si>
  <si>
    <t>2019 XIV Latin American Conference on Learning Technologies (LACLO)</t>
  </si>
  <si>
    <t>978-1-7281-4286-9</t>
  </si>
  <si>
    <t>10.1109/LACLO49268.2019.00070</t>
  </si>
  <si>
    <t>https://ieeexplore.ieee.org/document/8995062/</t>
  </si>
  <si>
    <t>381-386</t>
  </si>
  <si>
    <t>San Jose Del Cabo, Mexico</t>
  </si>
  <si>
    <t>84HTTNCL</t>
  </si>
  <si>
    <t>Zuo, Wuheng; Wu, Ziru; Lu, Zhaohao; Liu, Qing</t>
  </si>
  <si>
    <t>The Evaluation Framework of User Experience in Educational Virtual Reality Games: The Case of ilab-x Platform</t>
  </si>
  <si>
    <t>2021 IEEE 7th International Conference on Virtual Reality (ICVR)</t>
  </si>
  <si>
    <t>978-1-6654-2309-0</t>
  </si>
  <si>
    <t>10.1109/ICVR51878.2021.9483836</t>
  </si>
  <si>
    <t>https://ieeexplore.ieee.org/document/9483836/</t>
  </si>
  <si>
    <t>161-165</t>
  </si>
  <si>
    <t>The Evaluation Framework of User Experience in Educational Virtual Reality Games</t>
  </si>
  <si>
    <t>Foshan, China</t>
  </si>
  <si>
    <t>WNRQQ8TI</t>
  </si>
  <si>
    <t>Zhang, Lufang; Dai, Xiayi; Xu, Xingyu; Shi, Gaoyan; Tang, Zhichuan</t>
  </si>
  <si>
    <t>User Experience Research on Product Design Evaluation based on Virtual Reality Prototyping</t>
  </si>
  <si>
    <t>2020 IEEE International Conference on Progress in Informatics and Computing (PIC)</t>
  </si>
  <si>
    <t>978-1-7281-7086-2</t>
  </si>
  <si>
    <t>10.1109/PIC50277.2020.9350750</t>
  </si>
  <si>
    <t>https://ieeexplore.ieee.org/document/9350750/</t>
  </si>
  <si>
    <t>214-218</t>
  </si>
  <si>
    <t>Shanghai, China</t>
  </si>
  <si>
    <t>BIXVZK7B</t>
  </si>
  <si>
    <t>Afendi Bin Abdul Ghani, Mohamad Shahfik; Bin Kiffli, Sudirman; Kuan, Tenh Hock; Wan Shamsuddin, Syadiah Nor Binti; Rahim, Normala Binti</t>
  </si>
  <si>
    <t>Cultural Heritage in The Digital Age: Evaluating User Experience in Virtual Reality Cultural Heritage Learning Application</t>
  </si>
  <si>
    <t>2025 27th International Conference on Advanced Communications Technology (ICACT)</t>
  </si>
  <si>
    <t>979-11-88428-13-7</t>
  </si>
  <si>
    <t>10.23919/ICACT63878.2025.10936756</t>
  </si>
  <si>
    <t>https://ieeexplore.ieee.org/document/10936756/</t>
  </si>
  <si>
    <t>343-350</t>
  </si>
  <si>
    <t>Cultural Heritage in The Digital Age</t>
  </si>
  <si>
    <t>Pyeong Chang, Korea, Republic of</t>
  </si>
  <si>
    <t>8XQPPFLB</t>
  </si>
  <si>
    <t>Prada, Rui; Prasetya, I. S. W. B.; Kifetew, Fitsum; Dignum, Frank; Vos, Tanja E. J.; Lander, Jason; Donnart, Jean-yves; Kazmierowski, Alexandre; Davidson, Joseph; Fernandes, Pedro M.</t>
  </si>
  <si>
    <t>Agent-based Testing of Extended Reality Systems</t>
  </si>
  <si>
    <t>2020 IEEE 13th International Conference on Software Testing, Validation and Verification (ICST)</t>
  </si>
  <si>
    <t>978-1-7281-5778-8</t>
  </si>
  <si>
    <t>10.1109/ICST46399.2020.00051</t>
  </si>
  <si>
    <t>https://ieeexplore.ieee.org/document/9159086/</t>
  </si>
  <si>
    <t>2020-10</t>
  </si>
  <si>
    <t>414-417</t>
  </si>
  <si>
    <t>Porto, Portugal</t>
  </si>
  <si>
    <t>/Users/dennis/Zotero/storage/JTS253ZV/Prada et al. - 2020 - Agent-based Testing of Extended Reality Systems.pdf</t>
  </si>
  <si>
    <t>User experience; Software testing; Reality systems; Cognitive tests; Iterative design; Verification; Autonomous agents; User experiences (ux); Quality assurance; agent-based testing; Agent-based testing; AI-based testing; testing computer game; Testing procedure; testing virtual reality; user experience testing</t>
  </si>
  <si>
    <t>XMM9AVGN</t>
  </si>
  <si>
    <t>Martins, Valeria Farinazzo; De Paiva Guimaraes, Marcelo; Correa, Ana Grasielle</t>
  </si>
  <si>
    <t>Usability test for Augmented Reality applications</t>
  </si>
  <si>
    <t>2013 XXXIX Latin American Computing Conference (CLEI)</t>
  </si>
  <si>
    <t>978-1-4799-1340-4 978-1-4799-2957-3 978-1-4799-2956-6</t>
  </si>
  <si>
    <t>10.1109/CLEI.2013.6670668</t>
  </si>
  <si>
    <t>http://ieeexplore.ieee.org/document/6670668/</t>
  </si>
  <si>
    <t>2013-10</t>
  </si>
  <si>
    <t>Caracas (Naiguata), Venezuela</t>
  </si>
  <si>
    <t>2013 Latin American Computing Conference (CLEI)</t>
  </si>
  <si>
    <t>U9KL2SXF</t>
  </si>
  <si>
    <t>Ramaseri Chandra, Ananth N.; El Jamiy, Fatima; Reza, Hassan</t>
  </si>
  <si>
    <t>A Review on Usability and Performance Evaluation in Virtual Reality Systems</t>
  </si>
  <si>
    <t>2019 International Conference on Computational Science and Computational Intelligence (CSCI)</t>
  </si>
  <si>
    <t>978-1-7281-5584-5</t>
  </si>
  <si>
    <t>10.1109/CSCI49370.2019.00210</t>
  </si>
  <si>
    <t>https://ieeexplore.ieee.org/document/9071019/</t>
  </si>
  <si>
    <t>2019-12</t>
  </si>
  <si>
    <t>1107-1114</t>
  </si>
  <si>
    <t>Las Vegas, NV, USA</t>
  </si>
  <si>
    <t>NFYLUBG4</t>
  </si>
  <si>
    <t>Bai, Zhen; Blackwell, Alan F.</t>
  </si>
  <si>
    <t>Analytic review of usability evaluation in ISMAR</t>
  </si>
  <si>
    <t>Interacting with Computers</t>
  </si>
  <si>
    <t>10.1016/j.intcom.2012.07.004</t>
  </si>
  <si>
    <t>https://academic.oup.com/iwc/article-lookup/doi/10.1016/j.intcom.2012.07.004</t>
  </si>
  <si>
    <t>2012-11</t>
  </si>
  <si>
    <t>450-460</t>
  </si>
  <si>
    <t>Augmented Reality; Usability evaluation; User experience; Collaboration</t>
  </si>
  <si>
    <t>6SUJM96P</t>
  </si>
  <si>
    <t>Wijaya, Alvin Candra; Munandar, M. Wiranto Aris; Utaminingrum, Fitri</t>
  </si>
  <si>
    <t>Usability Testing of Augmented Reality For Food Advertisement Based On Mobile Phone Using System Usability Scale</t>
  </si>
  <si>
    <t>2019 International Conference on Sustainable Information Engineering and Technology (SIET)</t>
  </si>
  <si>
    <t>978-1-7281-3878-7 978-1-7281-3880-0</t>
  </si>
  <si>
    <t>10.1109/SIET48054.2019.8986118</t>
  </si>
  <si>
    <t>https://ieeexplore.ieee.org/document/8986118/</t>
  </si>
  <si>
    <t>2019-09</t>
  </si>
  <si>
    <t>266-269</t>
  </si>
  <si>
    <t>Lombok, Indonesia</t>
  </si>
  <si>
    <t>6HS2IBG9</t>
  </si>
  <si>
    <t>Maulana, Fairuz Iqbal; Wijaya, Ida Bagus Ananta; Azis, Baskoro; Harjo, Althea Adeltrudis; Suwondo, Lenny; Livianty, Veronica</t>
  </si>
  <si>
    <t>Evaluation of User Experience on the Augmented Reality Glovic Cafe and Bakery Jember Application to Maximize User Experience</t>
  </si>
  <si>
    <t>2022 8th International Conference on Education and Technology (ICET)</t>
  </si>
  <si>
    <t>978-1-6654-9214-0</t>
  </si>
  <si>
    <t>10.1109/ICET56879.2022.9990613</t>
  </si>
  <si>
    <t>https://ieeexplore.ieee.org/document/9990613/</t>
  </si>
  <si>
    <t>270-274</t>
  </si>
  <si>
    <t>Malang, Indonesia</t>
  </si>
  <si>
    <t>9EP8ZID9</t>
  </si>
  <si>
    <t>Ansari, Saba Gholizadeh</t>
  </si>
  <si>
    <t>Toward Automated Assessment of User Experience in Extended Reality</t>
  </si>
  <si>
    <t>10.1109/ICST46399.2020.00056</t>
  </si>
  <si>
    <t>https://ieeexplore.ieee.org/document/9159046/</t>
  </si>
  <si>
    <t>430-432</t>
  </si>
  <si>
    <t>Automation; Extended reality; User experience; Software testing; Reality systems; Automated assessment; Automated testing; Verification; Agent simulation; Automated playtesting; Computational model; Emotional state; Emotional user experience testing; Testing framework; User-system interaction</t>
  </si>
  <si>
    <t>UXGCUEW5</t>
  </si>
  <si>
    <t>Freitas, Fabio; Oliveira, Henrique; Winkler, Ingrid; Gomes, Marcus</t>
  </si>
  <si>
    <t>Virtual Reality on Product Usability Testing: A Systematic Literature Review</t>
  </si>
  <si>
    <t>2020 22nd Symposium on Virtual and Augmented Reality (SVR)</t>
  </si>
  <si>
    <t>978-1-7281-9231-4</t>
  </si>
  <si>
    <t>10.1109/SVR51698.2020.00025</t>
  </si>
  <si>
    <t>https://ieeexplore.ieee.org/document/9262676/</t>
  </si>
  <si>
    <t>2020-11</t>
  </si>
  <si>
    <t>67-73</t>
  </si>
  <si>
    <t>Virtual Reality on Product Usability Testing</t>
  </si>
  <si>
    <t>Porto de Galinhas, Brazil</t>
  </si>
  <si>
    <t>DFB6VL79</t>
  </si>
  <si>
    <t>Brade, Jennifer; Kögel, Alexander; Klimant, Franziska; Dix, Martin</t>
  </si>
  <si>
    <t>Pedaling into Presence: Evaluating Presence and User Experience in VR Cycling vs. Controller Use</t>
  </si>
  <si>
    <t>2025 IEEE Conference on Virtual Reality and 3D User Interfaces Abstracts and Workshops (VRW)</t>
  </si>
  <si>
    <t>979-8-3315-1484-6</t>
  </si>
  <si>
    <t>10.1109/VRW66409.2025.00308</t>
  </si>
  <si>
    <t>https://ieeexplore.ieee.org/document/10972758/</t>
  </si>
  <si>
    <t>324-325</t>
  </si>
  <si>
    <t>Pedaling into Presence</t>
  </si>
  <si>
    <t>Saint Malo, France</t>
  </si>
  <si>
    <t>7W8ZK92D</t>
  </si>
  <si>
    <t>Qin, Kaitong; Zhen, Yankun; Dong, Tianshu; Chen, Liuqing; Sun, Lingyun; Zhang, Yumou; Zhou, TingTing</t>
  </si>
  <si>
    <t>Design and User Experience Evaluation of 3D Product Information in XR Shopping Application</t>
  </si>
  <si>
    <t>2023 IEEE Conference on Virtual Reality and 3D User Interfaces Abstracts and Workshops (VRW)</t>
  </si>
  <si>
    <t>979-8-3503-4839-2</t>
  </si>
  <si>
    <t>10.1109/VRW58643.2023.00200</t>
  </si>
  <si>
    <t>https://ieeexplore.ieee.org/document/10108865/</t>
  </si>
  <si>
    <t>2023-03</t>
  </si>
  <si>
    <t>715-716</t>
  </si>
  <si>
    <t>8QESX8CH</t>
  </si>
  <si>
    <t>Pedroli, Elisa; Cipresso, Pietro; Serino, Silvia; Albani, Giovanni; Riva, Giuseppe</t>
  </si>
  <si>
    <t>A Virtual Reality Test for the Assessment of Cognitive Deficits: Usability and Perspectives</t>
  </si>
  <si>
    <t>Proceedings of the ICTs for improving Patients Rehabilitation Research Techniques</t>
  </si>
  <si>
    <t>978-1-936968-80-0</t>
  </si>
  <si>
    <t>10.4108/icst.pervasivehealth.2013.252359</t>
  </si>
  <si>
    <t>http://eudl.eu/doi/10.4108/icst.pervasivehealth.2013.252359</t>
  </si>
  <si>
    <t>A Virtual Reality Test for the Assessment of Cognitive Deficits</t>
  </si>
  <si>
    <t>Venice, Italy</t>
  </si>
  <si>
    <t>/Users/dennis/Zotero/storage/45HWQ8UE/Pedroli et al. - 2013 - A Virtual Reality Test for the Assessment of Cognitive Deficits Usability and Perspectives.pdf</t>
  </si>
  <si>
    <t>usability; assessment; cognitive deficits; psychometrics; virtual reality test; VMET</t>
  </si>
  <si>
    <t>ICTs for improving Patients Rehabilitation Research Techniques</t>
  </si>
  <si>
    <t>XLBLTAH2</t>
  </si>
  <si>
    <t>Harwati, Tasya Setyo; Nendya, Matahari Bhakti; Dendy Senapartha, I Kadek; Lukito, Yuan; Tjahjono, Felix Nathanael; Jovan, Kenny Ivander</t>
  </si>
  <si>
    <t>Usability Evaluation of Augmented Reality Indoor Navigation: A System Usability Scale Approach</t>
  </si>
  <si>
    <t>2024 2nd International Conference on Technology Innovation and Its Applications (ICTIIA)</t>
  </si>
  <si>
    <t>979-8-3503-5161-3</t>
  </si>
  <si>
    <t>10.1109/ICTIIA61827.2024.10761358</t>
  </si>
  <si>
    <t>https://ieeexplore.ieee.org/document/10761358/</t>
  </si>
  <si>
    <t>Usability Evaluation of Augmented Reality Indoor Navigation</t>
  </si>
  <si>
    <t>Medan, Indonesia</t>
  </si>
  <si>
    <t>4UQRYS7J</t>
  </si>
  <si>
    <t>Sheikh, Sarah; Bin Heyat, Md Belal; AlShorman, Omar; Masadeh, Mahmoud; Alkahatni, Fahad</t>
  </si>
  <si>
    <t>A Review of Usability Evaluation Techniques for Augmented Reality Systems in Education</t>
  </si>
  <si>
    <t>2021 Innovation and New Trends in Engineering, Science and Technology Education Conference (IETSEC)</t>
  </si>
  <si>
    <t>978-1-7281-7654-3</t>
  </si>
  <si>
    <t>10.1109/IETSEC51476.2021.9440506</t>
  </si>
  <si>
    <t>https://ieeexplore.ieee.org/document/9440506/</t>
  </si>
  <si>
    <t>Amman, Jordan</t>
  </si>
  <si>
    <t>FD8V9JD6</t>
  </si>
  <si>
    <t>Brancati, Nadia; Caggianese, Giuseppe; Pietro, Giuseppe De; Frucci, Maria; Gallo, Luigi; Neroni, Pietro</t>
  </si>
  <si>
    <t>Usability Evaluation of a Wearable Augmented Reality System for the Enjoyment of the Cultural Heritage</t>
  </si>
  <si>
    <t>2015 11th International Conference on Signal-Image Technology &amp; Internet-Based Systems (SITIS)</t>
  </si>
  <si>
    <t>978-1-4673-9721-6</t>
  </si>
  <si>
    <t>10.1109/SITIS.2015.98</t>
  </si>
  <si>
    <t>http://ieeexplore.ieee.org/document/7400650/</t>
  </si>
  <si>
    <t>2015-11</t>
  </si>
  <si>
    <t>768-774</t>
  </si>
  <si>
    <t>Bangkok, Thailand</t>
  </si>
  <si>
    <t>GYY7QGAH</t>
  </si>
  <si>
    <t>Taylor, Isaac; Tadayyoniahrab, Hamed; Gualdron, Fabian; Uribe-Quevedo, Alvaro; Mirza-Babaei, Pejman</t>
  </si>
  <si>
    <t>Evaluating Usability, Cognitive Load, and Presence in VR Tutorials: A Preliminary Study</t>
  </si>
  <si>
    <t>10.1109/VRW66409.2025.00369</t>
  </si>
  <si>
    <t>https://ieeexplore.ieee.org/document/10973037/</t>
  </si>
  <si>
    <t>1446-1447</t>
  </si>
  <si>
    <t>Evaluating Usability, Cognitive Load, and Presence in VR Tutorials</t>
  </si>
  <si>
    <t>SCUTMIG5</t>
  </si>
  <si>
    <t>Guzmán, Diego E.; Rengifo, Carlos F.; Guzmán, Juan D.; Garcia, Cecilia E.</t>
  </si>
  <si>
    <t>Virtual Reality Game for Cognitive Training: A Usability and Qualitative Evaluation</t>
  </si>
  <si>
    <t>2024 7th Iberian Robotics Conference (ROBOT)</t>
  </si>
  <si>
    <t>979-8-3503-7636-4</t>
  </si>
  <si>
    <t>10.1109/ROBOT61475.2024.10796937</t>
  </si>
  <si>
    <t>https://ieeexplore.ieee.org/document/10796937/</t>
  </si>
  <si>
    <t>Virtual Reality Game for Cognitive Training</t>
  </si>
  <si>
    <t>Madrid, Spain</t>
  </si>
  <si>
    <t>9B25DLSD</t>
  </si>
  <si>
    <t>Spyridonis, F.; Gronli, T-M; Hansen, J.; Ghinea, G.</t>
  </si>
  <si>
    <t>Evaluating the usability of a Virtual Reality-based Android application in managing the pain experience of wheelchair users</t>
  </si>
  <si>
    <t>2012 Annual International Conference of the IEEE Engineering in Medicine and Biology Society</t>
  </si>
  <si>
    <t>978-1-4577-1787-1 978-1-4244-4119-8</t>
  </si>
  <si>
    <t>10.1109/EMBC.2012.6346462</t>
  </si>
  <si>
    <t>http://ieeexplore.ieee.org/document/6346462/</t>
  </si>
  <si>
    <t>2012-08</t>
  </si>
  <si>
    <t>2460-2463</t>
  </si>
  <si>
    <t>San Diego, CA</t>
  </si>
  <si>
    <t>2012 34th Annual International Conference of the IEEE Engineering in Medicine and Biology Society (EMBC)</t>
  </si>
  <si>
    <t>ENC7LCPZ</t>
  </si>
  <si>
    <t>Sattabongkot, Kananek; Nobnop, Ratchanon; Nobaew, Banphot; Tongpaeng, Yootthapong</t>
  </si>
  <si>
    <t>Evaluating Usability and Immersion Experiences in Virtual Reality Platforms: A Case Study Focused on the Ancient City of Chiang Saen</t>
  </si>
  <si>
    <t>2023 7th International Conference on Information Technology (InCIT)</t>
  </si>
  <si>
    <t>979-8-3503-5869-8</t>
  </si>
  <si>
    <t>10.1109/InCIT60207.2023.10413099</t>
  </si>
  <si>
    <t>https://ieeexplore.ieee.org/document/10413099/</t>
  </si>
  <si>
    <t>43-47</t>
  </si>
  <si>
    <t>Evaluating Usability and Immersion Experiences in Virtual Reality Platforms</t>
  </si>
  <si>
    <t>Chiang Rai, Thailand</t>
  </si>
  <si>
    <t>IEAPLDDA</t>
  </si>
  <si>
    <t>Adamczewska, Natalia; Tang, Wen; Li, Zequn; Southall, Ethan; Develin, Timothy; De Caro, Alberto</t>
  </si>
  <si>
    <t>MO-XR: Method for Observing User Interactions with XR Applications</t>
  </si>
  <si>
    <t>2024 10th International Conference on Virtual Reality (ICVR)</t>
  </si>
  <si>
    <t>979-8-3503-6423-1</t>
  </si>
  <si>
    <t>10.1109/ICVR62393.2024.10868332</t>
  </si>
  <si>
    <t>https://ieeexplore.ieee.org/document/10868332/</t>
  </si>
  <si>
    <t>296-302</t>
  </si>
  <si>
    <t>MO-XR</t>
  </si>
  <si>
    <t>Bournemouth, United Kingdom</t>
  </si>
  <si>
    <t>JZHDH272</t>
  </si>
  <si>
    <t>Hou, Guanhua; Dong, Hua; Yang, Yang</t>
  </si>
  <si>
    <t>Developing a Virtual Reality Game User Experience Test Method Based on EEG Signals</t>
  </si>
  <si>
    <t>2017 5th International Conference on Enterprise Systems (ES)</t>
  </si>
  <si>
    <t>978-1-5386-0936-1</t>
  </si>
  <si>
    <t>10.1109/ES.2017.45</t>
  </si>
  <si>
    <t>http://ieeexplore.ieee.org/document/8119396/</t>
  </si>
  <si>
    <t>2017-09</t>
  </si>
  <si>
    <t>227-231</t>
  </si>
  <si>
    <t>Beijing</t>
  </si>
  <si>
    <t>YRY4QW2A</t>
  </si>
  <si>
    <t>Sarupuri, Bhuvaneswari; Hoermann, Simon; Whitton, Mary C.; Lindeman, Robert W.</t>
  </si>
  <si>
    <t>LUTE: A Locomotion Usability Test Environmentfor Virtual Reality</t>
  </si>
  <si>
    <t>2018 10th International Conference on Virtual Worlds and Games for Serious Applications (VS-Games)</t>
  </si>
  <si>
    <t>978-1-5386-7123-8</t>
  </si>
  <si>
    <t>10.1109/VS-Games.2018.8493432</t>
  </si>
  <si>
    <t>https://ieeexplore.ieee.org/document/8493432/</t>
  </si>
  <si>
    <t>2018-09</t>
  </si>
  <si>
    <t>LUTE</t>
  </si>
  <si>
    <t>Wurzburg</t>
  </si>
  <si>
    <t>DMZJCQEJ</t>
  </si>
  <si>
    <t>Mathis, Florian</t>
  </si>
  <si>
    <t>[DC] VirSec: Virtual Reality as Cost-Effective Test Bed for Usability and Security Evaluations</t>
  </si>
  <si>
    <t>2021 IEEE Conference on Virtual Reality and 3D User Interfaces Abstracts and Workshops (VRW)</t>
  </si>
  <si>
    <t>978-1-6654-4057-8</t>
  </si>
  <si>
    <t>10.1109/VRW52623.2021.00235</t>
  </si>
  <si>
    <t>https://ieeexplore.ieee.org/document/9419223/</t>
  </si>
  <si>
    <t>2021-03</t>
  </si>
  <si>
    <t>705-706</t>
  </si>
  <si>
    <t>[DC] VirSec</t>
  </si>
  <si>
    <t>Lisbon, Portugal</t>
  </si>
  <si>
    <t>2EVXSCJY</t>
  </si>
  <si>
    <t>Naranjo, Jose E.; Urrutia Urrutia, Fernando; Garcia, Marcelo V.; Gallardo-Cardenas, Fabian; Franklin, Tigre O.; Lozada-Martinez, Erika</t>
  </si>
  <si>
    <t>User Experience Evaluation of an Interactive Virtual Reality-Based System for Upper Limb Rehabilitation</t>
  </si>
  <si>
    <t>2019 Sixth International Conference on eDemocracy &amp; eGovernment (ICEDEG)</t>
  </si>
  <si>
    <t>978-1-7281-1704-1</t>
  </si>
  <si>
    <t>10.1109/ICEDEG.2019.8734389</t>
  </si>
  <si>
    <t>https://ieeexplore.ieee.org/document/8734389/</t>
  </si>
  <si>
    <t>328-333</t>
  </si>
  <si>
    <t>Quito, Ecuador</t>
  </si>
  <si>
    <t>8RAPGHCY</t>
  </si>
  <si>
    <t>Heryadi, Yaya; Robbany, Ahmad Zakky; Sudarma, Hantze</t>
  </si>
  <si>
    <t>User experience evaluation of virtual reality-based cultural gamification using GameFlow approach</t>
  </si>
  <si>
    <t>2016 1st International Conference on Game, Game Art, and Gamification (ICGGAG)</t>
  </si>
  <si>
    <t>978-1-5090-5479-4</t>
  </si>
  <si>
    <t>10.1109/ICGGAG.2016.8052644</t>
  </si>
  <si>
    <t>http://ieeexplore.ieee.org/document/8052644/</t>
  </si>
  <si>
    <t>2016-12</t>
  </si>
  <si>
    <t>ZLECNYKA</t>
  </si>
  <si>
    <t>Correa, Ana Grasielle; Borba, Eduardo Zilles; Lopes, Roseli; Zuffo, Marcelo Knorich; Araujo, Astolfo; Kopper, Regis</t>
  </si>
  <si>
    <t>User experience evaluation with archaeometry interactive tools in Virtual Reality environment</t>
  </si>
  <si>
    <t>2017 IEEE Symposium on 3D User Interfaces (3DUI)</t>
  </si>
  <si>
    <t>978-1-5090-6716-9</t>
  </si>
  <si>
    <t>10.1109/3DUI.2017.7893349</t>
  </si>
  <si>
    <t>http://ieeexplore.ieee.org/document/7893349/</t>
  </si>
  <si>
    <t>217-218</t>
  </si>
  <si>
    <t>Los Angeles, CA, USA</t>
  </si>
  <si>
    <t>FWNIZW46</t>
  </si>
  <si>
    <t>Tsai, An-Chao</t>
  </si>
  <si>
    <t>Design and Implementation of a Virtual Reality Insects Learning System with Its User Experience Evaluation</t>
  </si>
  <si>
    <t>2020 8th International Conference on Orange Technology (ICOT)</t>
  </si>
  <si>
    <t>978-1-6654-1852-2</t>
  </si>
  <si>
    <t>10.1109/ICOT51877.2020.9468720</t>
  </si>
  <si>
    <t>https://ieeexplore.ieee.org/document/9468720/</t>
  </si>
  <si>
    <t>Daegu, Korea (South)</t>
  </si>
  <si>
    <t>9NKU4CMP</t>
  </si>
  <si>
    <t>Kuo, Lou-Hui; Chang, Ching-Hao; Huang, Su-Fei; Chien, Hsiu-Chun; Huang, Chiu-Mieh; Guo, Jong-Long</t>
  </si>
  <si>
    <t>User Experience Evaluation of a Spherical Video-based Virtual Reality Dementia Educational Program among Older Adults with Mild Cognitive Impairment</t>
  </si>
  <si>
    <t>2024 International Conference on Consumer Electronics - Taiwan (ICCE-Taiwan)</t>
  </si>
  <si>
    <t>979-8-3503-8684-4</t>
  </si>
  <si>
    <t>10.1109/ICCE-Taiwan62264.2024.10674643</t>
  </si>
  <si>
    <t>https://ieeexplore.ieee.org/document/10674643/</t>
  </si>
  <si>
    <t>27-28</t>
  </si>
  <si>
    <t>Taichung, Taiwan</t>
  </si>
  <si>
    <t>CHRZRV5M</t>
  </si>
  <si>
    <t>Stefanidi, Helen; Leonidis, Asterios; Korozi, Maria; Papagiannakis, George</t>
  </si>
  <si>
    <t>The ARgus Designer: Supporting experts while conducting user studies of AR/MR applications</t>
  </si>
  <si>
    <t>2022 IEEE International Symposium on Mixed and Augmented Reality Adjunct (ISMAR-Adjunct)</t>
  </si>
  <si>
    <t>978-1-6654-5365-3</t>
  </si>
  <si>
    <t>10.1109/ISMAR-Adjunct57072.2022.00190</t>
  </si>
  <si>
    <t>https://ieeexplore.ieee.org/document/9974249/</t>
  </si>
  <si>
    <t>2022-10</t>
  </si>
  <si>
    <t>885-890</t>
  </si>
  <si>
    <t>The ARgus Designer</t>
  </si>
  <si>
    <t>Singapore, Singapore</t>
  </si>
  <si>
    <t>6J7ZEUSY</t>
  </si>
  <si>
    <t>Yigitbas, Enes; Krois, Sebastian; Renzelmann, Timo; Engels, Gregor</t>
  </si>
  <si>
    <t>Comparative Evaluation of AR-based, VR-based, and Traditional Basic Life Support Training</t>
  </si>
  <si>
    <t>2022 IEEE 10th International Conference on Serious Games and Applications for Health(SeGAH)</t>
  </si>
  <si>
    <t>978-1-6654-8439-8</t>
  </si>
  <si>
    <t>10.1109/SEGAH54908.2022.9978596</t>
  </si>
  <si>
    <t>https://ieeexplore.ieee.org/document/9978596/</t>
  </si>
  <si>
    <t>Sydney, Australia</t>
  </si>
  <si>
    <t>virtual reality; Virtual reality; augmented reality; Augmented reality; Usability evaluation; Basic life supports; Cardiac arrest; Resuscitation; Automated assessment; basic life support; Cognitive workloads; Comparative evaluations; Emergency response systems; Real-time feedback; resuscitation; Sudden cardiac arrest; Training effectiveness; usability evaluation</t>
  </si>
  <si>
    <t>95HX7ZP8</t>
  </si>
  <si>
    <t>Satpute, Trupti; Pingale, Subhash; Chavan, Vijaysinh</t>
  </si>
  <si>
    <t>Augmented reality in e-learning review of prototype designs for usability evaluation</t>
  </si>
  <si>
    <t>2015 International Conference on Communication, Information &amp; Computing Technology (ICCICT)</t>
  </si>
  <si>
    <t>978-1-4799-5522-0 978-1-4799-5521-3</t>
  </si>
  <si>
    <t>10.1109/ICCICT.2015.7045712</t>
  </si>
  <si>
    <t>http://ieeexplore.ieee.org/document/7045712/</t>
  </si>
  <si>
    <t>2015-01</t>
  </si>
  <si>
    <t>Mumbai, India</t>
  </si>
  <si>
    <t>8MYTC58F</t>
  </si>
  <si>
    <t>Saputra, Levina Jane; Mulia, Karina Dwinovera; Suri, Puti Andam; Fajar, Muhamad</t>
  </si>
  <si>
    <t>Blaze Buster Augmented Reality Usability Evaluation</t>
  </si>
  <si>
    <t>2024 6th International Conference on Cybernetics and Intelligent System (ICORIS)</t>
  </si>
  <si>
    <t>979-8-3315-3960-3</t>
  </si>
  <si>
    <t>10.1109/ICORIS63540.2024.10903826</t>
  </si>
  <si>
    <t>https://ieeexplore.ieee.org/document/10903826/</t>
  </si>
  <si>
    <t>Surakarta, Indonesia</t>
  </si>
  <si>
    <t>VYNM2466</t>
  </si>
  <si>
    <t>Dendy Senapartha, I Kadek; Wikan Mahastama, Aditya; Nendya, Matahari Bhakti; Adrian Susanto, Albertus</t>
  </si>
  <si>
    <t>Usability Evaluation of Augmented Reality as Immersive Product Guidelines</t>
  </si>
  <si>
    <t>2023 International Conference on Electrical and Information Technology (IEIT)</t>
  </si>
  <si>
    <t>979-8-3503-2729-8</t>
  </si>
  <si>
    <t>10.1109/IEIT59852.2023.10335497</t>
  </si>
  <si>
    <t>https://ieeexplore.ieee.org/document/10335497/</t>
  </si>
  <si>
    <t>248-251</t>
  </si>
  <si>
    <t>9MXABSWV</t>
  </si>
  <si>
    <t>Preliminary user experience framework for designing mobile augmented reality technologies</t>
  </si>
  <si>
    <t>2015 4th International Conference on Interactive Digital Media (ICIDM)</t>
  </si>
  <si>
    <t>978-1-5090-1669-3</t>
  </si>
  <si>
    <t>10.1109/IDM.2015.7547833</t>
  </si>
  <si>
    <t>https://ieeexplore.ieee.org/document/7547833/</t>
  </si>
  <si>
    <t>2015-12</t>
  </si>
  <si>
    <t>Bandung</t>
  </si>
  <si>
    <t>ZUXF6YKG</t>
  </si>
  <si>
    <t>Usability evaluation techniques for virtual reality technologies</t>
  </si>
  <si>
    <t>Proceedings IEEE Virtual Reality 2002</t>
  </si>
  <si>
    <t>978-0-7695-1492-5</t>
  </si>
  <si>
    <t>10.1109/VR.2002.996547</t>
  </si>
  <si>
    <t>http://ieeexplore.ieee.org/document/996547/</t>
  </si>
  <si>
    <t>299-299</t>
  </si>
  <si>
    <t>IEEE Comput. Soc</t>
  </si>
  <si>
    <t>Orlando, FL, USA</t>
  </si>
  <si>
    <t>IEEE Virtual Reality 2002</t>
  </si>
  <si>
    <t>MEU4IS9G</t>
  </si>
  <si>
    <t>Kanazawa, Kotaro; Sato, Noritaka; Morita, Yoshifumi</t>
  </si>
  <si>
    <t>Usability Evaluation of Human–Robot Interaction in Manipulator Teleoperation via Virtual Reality in Inspection Tasks</t>
  </si>
  <si>
    <t>2024 13th International Workshop on Robot Motion and Control (RoMoCo)</t>
  </si>
  <si>
    <t>979-8-3503-9396-5</t>
  </si>
  <si>
    <t>10.1109/RoMoCo60539.2024.10604304</t>
  </si>
  <si>
    <t>https://ieeexplore.ieee.org/document/10604304/</t>
  </si>
  <si>
    <t>211-216</t>
  </si>
  <si>
    <t>Poznań, Poland</t>
  </si>
  <si>
    <t>IY45P7DM</t>
  </si>
  <si>
    <t>Hayes, Aleshia; Johnson, Veronica; Cockerham, Debbie</t>
  </si>
  <si>
    <t>More than Fitness: User Perceptions and Hopes for Getting Fit in Virtual Reality</t>
  </si>
  <si>
    <t>2024 IEEE Conference on Virtual Reality and 3D User Interfaces Abstracts and Workshops (VRW)</t>
  </si>
  <si>
    <t>979-8-3503-7449-0</t>
  </si>
  <si>
    <t>10.1109/VRW62533.2024.00250</t>
  </si>
  <si>
    <t>https://ieeexplore.ieee.org/document/10536480/</t>
  </si>
  <si>
    <t>907-908</t>
  </si>
  <si>
    <t>More than Fitness</t>
  </si>
  <si>
    <t>N6ADD4SB</t>
  </si>
  <si>
    <t>Ramos, Catharina; Miguez, Rafael; Leão, Felipe; Rodrigues, Daniela; Demetrescu, Matheus; Sandrin, Fábio; Alfonso, Márcio; Leite, Rodrigo; Winkler, Ingrid</t>
  </si>
  <si>
    <t>Enhancing Automotive Usability Testing and User Experience: Insights from Virtual Reality and Eye Tracking Integration</t>
  </si>
  <si>
    <t>2025 IEEE International Conference on Artificial Intelligence and eXtended and Virtual Reality (AIxVR)</t>
  </si>
  <si>
    <t>979-8-3315-2157-8</t>
  </si>
  <si>
    <t>10.1109/AIxVR63409.2025.00081</t>
  </si>
  <si>
    <t>https://ieeexplore.ieee.org/document/10896203/</t>
  </si>
  <si>
    <t>429-434</t>
  </si>
  <si>
    <t>Enhancing Automotive Usability Testing and User Experience</t>
  </si>
  <si>
    <t>C5N9HDKG</t>
  </si>
  <si>
    <t>Fan, Xiaoli; Li, Xin; Song, Liqiang; Zhang, Yang; Liu, Mengxin; Miao, Qing</t>
  </si>
  <si>
    <t>Usability Evaluation of AR Human-machine Interface Based on User Experience</t>
  </si>
  <si>
    <t>2022 International Conference on Virtual Reality, Human-Computer Interaction and Artificial Intelligence (VRHCIAI)</t>
  </si>
  <si>
    <t>978-1-6654-9182-2</t>
  </si>
  <si>
    <t>10.1109/VRHCIAI57205.2022.00011</t>
  </si>
  <si>
    <t>https://ieeexplore.ieee.org/document/10062885/</t>
  </si>
  <si>
    <t>23-29</t>
  </si>
  <si>
    <t>Changsha, China</t>
  </si>
  <si>
    <t>JW4DWUZU</t>
  </si>
  <si>
    <t>Voinescu, Alexandra; Fodor, Liviu-Andrei; Fraser, Danae Stanton; Mejias, Miguel; David, Daniel</t>
  </si>
  <si>
    <t>Exploring the Usability of Nesplora Aquarium, a Virtual Reality System for Neuropsychological Assessment of Attention and Executive Functioning</t>
  </si>
  <si>
    <t>2019 IEEE Conference on Virtual Reality and 3D User Interfaces (VR)</t>
  </si>
  <si>
    <t>978-1-7281-1377-7</t>
  </si>
  <si>
    <t>10.1109/VR.2019.8798191</t>
  </si>
  <si>
    <t>https://ieeexplore.ieee.org/document/8798191/</t>
  </si>
  <si>
    <t>1207-1208</t>
  </si>
  <si>
    <t>Osaka, Japan</t>
  </si>
  <si>
    <t>/Users/dennis/Zotero/storage/JET3SWAH/Voinescu et al. - 2019 - Exploring the Usability of Nesplora Aquarium, a Virtual Reality System for Neuropsychological Assess.pdf</t>
  </si>
  <si>
    <t>YADBLV3D</t>
  </si>
  <si>
    <t>Sri, Bande Bhavya; Amulya, Kadamati Dharani Naga Sai; Pallapothu, Beulah; Rao, M.V.L.N. Raja; P, Siva Satya Sreedhar; Abirami, A.</t>
  </si>
  <si>
    <t>Revolutionizing User Experience for Product Quality Evaluation using AR/VR and NLP</t>
  </si>
  <si>
    <t>2024 International Conference on Distributed Computing and Optimization Techniques (ICDCOT)</t>
  </si>
  <si>
    <t>979-8-3503-8295-2</t>
  </si>
  <si>
    <t>10.1109/ICDCOT61034.2024.10515452</t>
  </si>
  <si>
    <t>https://ieeexplore.ieee.org/document/10515452/</t>
  </si>
  <si>
    <t>Bengaluru, India</t>
  </si>
  <si>
    <t>ZAFZ2K23</t>
  </si>
  <si>
    <t>Baum, David; Bechert, Stefan; Eisenecker, Ulrich; Meichsner, Isabelle; Muller, Richard</t>
  </si>
  <si>
    <t>Identifying Usability Issues of Software Analytics Applications in Immersive Augmented Reality</t>
  </si>
  <si>
    <t>2020 Working Conference on Software Visualization (VISSOFT)</t>
  </si>
  <si>
    <t>978-1-7281-9914-6</t>
  </si>
  <si>
    <t>10.1109/VISSOFT51673.2020.00015</t>
  </si>
  <si>
    <t>https://ieeexplore.ieee.org/document/9240485/</t>
  </si>
  <si>
    <t>2020-09</t>
  </si>
  <si>
    <t>100-104</t>
  </si>
  <si>
    <t>Adelaide, Australia</t>
  </si>
  <si>
    <t>/Users/dennis/Zotero/storage/IAU9HQGH/Baum et al. - 2020 - Identifying Usability Issues of Software Analytics Applications in Immersive Augmented Reality.pdf</t>
  </si>
  <si>
    <t>JB7ZGGAB</t>
  </si>
  <si>
    <t>Ntagiantas, Antonios; Manousos, Dimitris; Konstantakis, Markos; Aliprantis, John; Caridakis, George</t>
  </si>
  <si>
    <t>Augmented Reality children's book for intangible cultural heritage through participatory content creation and promotion. Case study: the pastoral life of Psiloritis as a UNESCO World Geopark</t>
  </si>
  <si>
    <t>2021 16th International Workshop on Semantic and Social Media Adaptation &amp; Personalization (SMAP)</t>
  </si>
  <si>
    <t>978-1-6654-4241-1</t>
  </si>
  <si>
    <t>10.1109/SMAP53521.2021.9610762</t>
  </si>
  <si>
    <t>https://ieeexplore.ieee.org/document/9610762/</t>
  </si>
  <si>
    <t>Augmented Reality children's book for intangible cultural heritage through participatory content creation and promotion. Case study</t>
  </si>
  <si>
    <t>Corfu, Greece</t>
  </si>
  <si>
    <t>ELK8CEMH</t>
  </si>
  <si>
    <t>Wrońska, Gabriela; Sterna, Radosław; Łukawski, Grzegorz; Igras-Cybulska, Magdalena</t>
  </si>
  <si>
    <t>Exploring User Preferences of VR Relaxation Experiences: A Comparative Mixed-Methods Study</t>
  </si>
  <si>
    <t>10.1109/VRW62533.2024.00235</t>
  </si>
  <si>
    <t>https://ieeexplore.ieee.org/document/10536406/</t>
  </si>
  <si>
    <t>877-878</t>
  </si>
  <si>
    <t>Exploring User Preferences of VR Relaxation Experiences</t>
  </si>
  <si>
    <t>C4G33SBM</t>
  </si>
  <si>
    <t>Biricz, Bence; Jónás, Viktor; Vincze, Miklós; Benhamida, Abdallah; Paulik, Róbert; Kozlovszky, Miklos</t>
  </si>
  <si>
    <t>User friendly virtual reality software development and testing</t>
  </si>
  <si>
    <t>2022 13th IEEE International Conference on Cognitive Infocommunications (CogInfoCom)</t>
  </si>
  <si>
    <t>978-1-6654-9238-6</t>
  </si>
  <si>
    <t>10.1109/CogInfoCom55841.2022.10081846</t>
  </si>
  <si>
    <t>https://ieeexplore.ieee.org/document/10081846/</t>
  </si>
  <si>
    <t>000087-000092</t>
  </si>
  <si>
    <t>Budapest, Hungary</t>
  </si>
  <si>
    <t>V5FGLCC8</t>
  </si>
  <si>
    <t>Hidayat, Taufiqurrakhman Nur; Alfathurrahman, Muhammad Taufiq; Yudhanto, Yudho; Purnomo, Fendi Aji; Pratisto, Eko Harry; Ardhi, Ovide Decroly Wisnu</t>
  </si>
  <si>
    <t>Assessing Usability in Immersive Javanese Script Learning: A System Usability Scale (SUS) Evaluation of Virtual Reality Applications</t>
  </si>
  <si>
    <t>2024 Ninth International Conference on Informatics and Computing (ICIC)</t>
  </si>
  <si>
    <t>979-8-3315-1760-1</t>
  </si>
  <si>
    <t>10.1109/ICIC64337.2024.10957113</t>
  </si>
  <si>
    <t>https://ieeexplore.ieee.org/document/10957113/</t>
  </si>
  <si>
    <t>Assessing Usability in Immersive Javanese Script Learning</t>
  </si>
  <si>
    <t>IDJI9GPF</t>
  </si>
  <si>
    <t>Botha-Ravyse, Chrisna; Froland, Tord Hettervik; Luimula, Mika; Markopoulos, Panagiotis; Bellalouna, Fahmi</t>
  </si>
  <si>
    <t>Towards a methodology for online VR application testing</t>
  </si>
  <si>
    <t>2020 11th IEEE International Conference on Cognitive Infocommunications (CogInfoCom)</t>
  </si>
  <si>
    <t>978-1-7281-8213-1</t>
  </si>
  <si>
    <t>10.1109/CogInfoCom50765.2020.9237893</t>
  </si>
  <si>
    <t>https://ieeexplore.ieee.org/document/9237893/</t>
  </si>
  <si>
    <t>000295-000298</t>
  </si>
  <si>
    <t>Mariehamn, Finland</t>
  </si>
  <si>
    <t>DMHQYV5L</t>
  </si>
  <si>
    <t>Özacar, Kasım; Hincapié-Ramos, Juan David; Takashima, Kazuki; Kitamura, Yoshifumi</t>
  </si>
  <si>
    <t>3D Selection Techniques for Mobile Augmented Reality Head-Mounted Displays</t>
  </si>
  <si>
    <t>0953-5438, 1873-7951</t>
  </si>
  <si>
    <t>10.1093/iwc/iww035</t>
  </si>
  <si>
    <t>https://academic.oup.com/iwc/article-lookup/doi/10.1093/iwc/iww035</t>
  </si>
  <si>
    <t>iwc;iww035v1</t>
  </si>
  <si>
    <t>Interact. Comput.</t>
  </si>
  <si>
    <t>6AA9UC5V</t>
  </si>
  <si>
    <t>Thanyadit, Santawat; Punpongsanon, Parinya; Pong, Ting-Chuen</t>
  </si>
  <si>
    <t>Investigating Visualization Techniques for Observing a Group of Virtual Reality Users Using Augmented Reality</t>
  </si>
  <si>
    <t>10.1109/VR.2019.8798123</t>
  </si>
  <si>
    <t>https://ieeexplore.ieee.org/document/8798123/</t>
  </si>
  <si>
    <t>1189-1190</t>
  </si>
  <si>
    <t>9K5UBF4D</t>
  </si>
  <si>
    <t>Engelbrecht, Hendrik; Lukosch, Stephan G.</t>
  </si>
  <si>
    <t>Viability of Augmented Content for Field Policing</t>
  </si>
  <si>
    <t>2018 IEEE International Symposium on Mixed and Augmented Reality Adjunct (ISMAR-Adjunct)</t>
  </si>
  <si>
    <t>978-1-5386-7592-2</t>
  </si>
  <si>
    <t>10.1109/ISMAR-Adjunct.2018.00111</t>
  </si>
  <si>
    <t>https://ieeexplore.ieee.org/document/8699296/</t>
  </si>
  <si>
    <t>2018-10</t>
  </si>
  <si>
    <t>386-389</t>
  </si>
  <si>
    <t>Munich, Germany</t>
  </si>
  <si>
    <t>RPZC3DMS</t>
  </si>
  <si>
    <t>Allgaier, Mareen; Chheang, Vuthea; Saalfeld, Patrick; Apilla, Vikram; Huber, Tobias; Huettl, Florentine; Neyazi, Belal; Sandalcioglu, I. Erol; Hansen, Christian; Preim, Bernhard; Saalfeld, Sylvia</t>
  </si>
  <si>
    <t>A Comparison of Input Devices for Precise Interaction Tasks in VR-based Surgical Planning and Training</t>
  </si>
  <si>
    <t>2022 IEEE Conference on Virtual Reality and 3D User Interfaces Abstracts and Workshops (VRW)</t>
  </si>
  <si>
    <t>978-1-6654-8402-2</t>
  </si>
  <si>
    <t>10.1109/VRW55335.2022.00188</t>
  </si>
  <si>
    <t>https://ieeexplore.ieee.org/document/9757571/</t>
  </si>
  <si>
    <t>2022-03</t>
  </si>
  <si>
    <t>674-675</t>
  </si>
  <si>
    <t>Christchurch, New Zealand</t>
  </si>
  <si>
    <t>I78W8CJG</t>
  </si>
  <si>
    <t>Lu, Haopeng; Ren, Huiwen; Feng, Yanan; Wang, Shanshe; Ma, Siwei; Gao, Wen</t>
  </si>
  <si>
    <t>GazeTance Guidance: Gaze and Distance-Based Content Presentation for Virtual Museum</t>
  </si>
  <si>
    <t>10.1109/VRW52623.2021.00113</t>
  </si>
  <si>
    <t>https://ieeexplore.ieee.org/document/9419356/</t>
  </si>
  <si>
    <t>462-463</t>
  </si>
  <si>
    <t>GazeTance Guidance</t>
  </si>
  <si>
    <t>RBIBJCWM</t>
  </si>
  <si>
    <t>Lee, Jihyeon; Kim, Jinwook; Lee, Jeongmi</t>
  </si>
  <si>
    <t>Comparison of Virtual Reality Teleportation Targeting Method Performance depending on the Teleport Distance</t>
  </si>
  <si>
    <t>2023 IEEE International Symposium on Mixed and Augmented Reality Adjunct (ISMAR-Adjunct)</t>
  </si>
  <si>
    <t>979-8-3503-2891-2</t>
  </si>
  <si>
    <t>10.1109/ISMAR-Adjunct60411.2023.00160</t>
  </si>
  <si>
    <t>https://ieeexplore.ieee.org/document/10322242/</t>
  </si>
  <si>
    <t>742-745</t>
  </si>
  <si>
    <t>VK4GUF7D</t>
  </si>
  <si>
    <t>Jo, Inseong; Park, Yeongyu; Kim, Hyeonjun; Bae, Joonbum</t>
  </si>
  <si>
    <t>Evaluation of a Wearable Hand Kinesthetic Feedback System for Virtual Reality: Psychophysical and User Experience Evaluation</t>
  </si>
  <si>
    <t>2168-2291, 2168-2305</t>
  </si>
  <si>
    <t>10.1109/THMS.2019.2919735</t>
  </si>
  <si>
    <t>https://ieeexplore.ieee.org/document/8736834/</t>
  </si>
  <si>
    <t>430-439</t>
  </si>
  <si>
    <t>IEEE Trans. Human-Mach. Syst.</t>
  </si>
  <si>
    <t>Evaluation of a Wearable Hand Kinesthetic Feedback System for Virtual Reality</t>
  </si>
  <si>
    <t>4CVI6GA4</t>
  </si>
  <si>
    <t>Putjorn, Pruet; Thein, Wai Yan Min; Sricha-Ann, Patthadon; Horikoshi, Taiki; Thiyod, Saksiri; Tongpaeng, Yootthapong; Pyae, Nang Hsu Mon; Intayoad, Wacharawan</t>
  </si>
  <si>
    <t>Usability Heuristics for VR-Based Education: A Case Study of Science Experiment Laboratory Simulator</t>
  </si>
  <si>
    <t>2024 8th International Conference on Information Technology (InCIT)</t>
  </si>
  <si>
    <t>979-8-3503-6630-3</t>
  </si>
  <si>
    <t>10.1109/InCIT63192.2024.10810493</t>
  </si>
  <si>
    <t>https://ieeexplore.ieee.org/document/10810493/</t>
  </si>
  <si>
    <t>548-553</t>
  </si>
  <si>
    <t>Usability Heuristics for VR-Based Education</t>
  </si>
  <si>
    <t>Chonburi, Thailand</t>
  </si>
  <si>
    <t>55USFHUN</t>
  </si>
  <si>
    <t>Bozgeyikli, Evren; Bozgeyikli, Lal Lila</t>
  </si>
  <si>
    <t>Evaluating Object Manipulation Interaction Techniques in Mixed Reality: Tangible User Interfaces and Gesture</t>
  </si>
  <si>
    <t>2021 IEEE Virtual Reality and 3D User Interfaces (VR)</t>
  </si>
  <si>
    <t>978-1-6654-1838-6</t>
  </si>
  <si>
    <t>10.1109/VR50410.2021.00105</t>
  </si>
  <si>
    <t>https://ieeexplore.ieee.org/document/9417663/</t>
  </si>
  <si>
    <t>778-787</t>
  </si>
  <si>
    <t>Evaluating Object Manipulation Interaction Techniques in Mixed Reality</t>
  </si>
  <si>
    <t>Lisboa, Portugal</t>
  </si>
  <si>
    <t>GXVRLJDV</t>
  </si>
  <si>
    <t>Li, Jie; Subramanyam, Shishir; Jansen, Jack; Mei, Yanni; Reimat, Ignacio; Lawicka, Kinga; Cesar, Pablo</t>
  </si>
  <si>
    <t>Evaluating the user Experience of a Photorealistic Social VR Movie</t>
  </si>
  <si>
    <t>2021 IEEE International Symposium on Mixed and Augmented Reality (ISMAR)</t>
  </si>
  <si>
    <t>978-1-6654-0158-6</t>
  </si>
  <si>
    <t>10.1109/ISMAR52148.2021.00044</t>
  </si>
  <si>
    <t>https://ieeexplore.ieee.org/document/9583789/</t>
  </si>
  <si>
    <t>2021-10</t>
  </si>
  <si>
    <t>284-293</t>
  </si>
  <si>
    <t>Bari, Italy</t>
  </si>
  <si>
    <t>/Users/dennis/Zotero/storage/8Z5B7YPW/Li et al. - 2021 - Evaluating the user Experience of a Photorealistic Social VR Movie.pdf</t>
  </si>
  <si>
    <t>QW6JZARC</t>
  </si>
  <si>
    <t>Miner, Nathan; Myers, Caleb; Shirodkar, Viraj; Wang, Zinan; Zhang, Qiqing; Harteveld, Casper</t>
  </si>
  <si>
    <t>Magic Mirror on the Wall: Reflecting the Realities of Lower Limb Rehabilitation in Virtual Reality</t>
  </si>
  <si>
    <t>10.1109/ISMAR-Adjunct57072.2022.00120</t>
  </si>
  <si>
    <t>https://ieeexplore.ieee.org/document/9974284/</t>
  </si>
  <si>
    <t>576-581</t>
  </si>
  <si>
    <t>Magic Mirror on the Wall</t>
  </si>
  <si>
    <t>WT3VQQV5</t>
  </si>
  <si>
    <t>Li, Meng; Ganni, Sandeep; Ponten, Jeroen; Albayrak, Armagan; Rutkowski, Anne-F; Jakimowicz, Jack</t>
  </si>
  <si>
    <t>Analysing usability and presence of a virtual reality operating room (VOR) simulator during laparoscopic surgery training</t>
  </si>
  <si>
    <t>2020 IEEE Conference on Virtual Reality and 3D User Interfaces (VR)</t>
  </si>
  <si>
    <t>978-1-7281-5608-8</t>
  </si>
  <si>
    <t>10.1109/VR46266.2020.00078</t>
  </si>
  <si>
    <t>https://ieeexplore.ieee.org/document/9089445/</t>
  </si>
  <si>
    <t>566-572</t>
  </si>
  <si>
    <t>/Users/dennis/Zotero/storage/GB4DJ834/Li et al. - 2020 - Analysing usability and presence of a virtual reality operating room (VOR) simulator during laparosc.pdf</t>
  </si>
  <si>
    <t>FTMZW9BY</t>
  </si>
  <si>
    <t>Dutta, Rubina; Mantri, Archana; Singh, Gurjinder; Kumar, Amit; Kaur, Deepti Prit</t>
  </si>
  <si>
    <t>Evaluating Usability of Mobile Augmented Reality System for Enhancing the Learning Experience</t>
  </si>
  <si>
    <t>2021 Sixth International Conference on Image Information Processing (ICIIP)</t>
  </si>
  <si>
    <t>978-1-6654-3361-7</t>
  </si>
  <si>
    <t>10.1109/ICIIP53038.2021.9702603</t>
  </si>
  <si>
    <t>https://ieeexplore.ieee.org/document/9702603/</t>
  </si>
  <si>
    <t>180-185</t>
  </si>
  <si>
    <t>Shimla, India</t>
  </si>
  <si>
    <t>ZZWN7YFW</t>
  </si>
  <si>
    <t>Helle, Jarle; Heldal, Ilona; Soleim, Harald; Geitung, Atle; Larsen, Thomas Fiskeseth</t>
  </si>
  <si>
    <t>Virtual Reality Exposure Therapy for Claustrophobia : Evaluating usability and usefulness by clinicians</t>
  </si>
  <si>
    <t>2022 1st IEEE International Conference on Cognitive Aspects of Virtual Reality (CVR)</t>
  </si>
  <si>
    <t>978-1-6654-8516-6</t>
  </si>
  <si>
    <t>10.1109/CVR55417.2022.9967569</t>
  </si>
  <si>
    <t>https://ieeexplore.ieee.org/document/9967569/</t>
  </si>
  <si>
    <t>000065-000072</t>
  </si>
  <si>
    <t>Virtual Reality Exposure Therapy for Claustrophobia</t>
  </si>
  <si>
    <t>UDMWQQY3</t>
  </si>
  <si>
    <t>Yudhanto, Yudho; Hidayat, Taufiqurrakhman Nur; Purnomo, Fendi Aji; Pratisto, Eko Harry; Ardhi, Ovide Decroly Wisnu</t>
  </si>
  <si>
    <t>VR Anima Safari Application with Design Thinking and Usability Testing Method</t>
  </si>
  <si>
    <t>2024 IEEE 2nd International Conference on Electrical Engineering, Computer and Information Technology (ICEECIT)</t>
  </si>
  <si>
    <t>979-8-3315-0437-3</t>
  </si>
  <si>
    <t>10.1109/ICEECIT63698.2024.10860005</t>
  </si>
  <si>
    <t>https://ieeexplore.ieee.org/document/10860005/</t>
  </si>
  <si>
    <t>296-301</t>
  </si>
  <si>
    <t>Jember, Indonesia</t>
  </si>
  <si>
    <t>7QB5JEK3</t>
  </si>
  <si>
    <t>Jimenez-Delgado, Juan Jose; Parra-Cabrera, Gema; Perez-Cano, Francisco Daniel; Silva, Augusto</t>
  </si>
  <si>
    <t>Virtual reality for validation of automatic bone fracture reduction algorithms</t>
  </si>
  <si>
    <t>2022 International Conference on Graphics and Interaction (ICGI)</t>
  </si>
  <si>
    <t>979-8-3503-4573-5</t>
  </si>
  <si>
    <t>10.1109/ICGI57174.2022.9990235</t>
  </si>
  <si>
    <t>https://ieeexplore.ieee.org/document/9990235/</t>
  </si>
  <si>
    <t>Aveiro, Portugal</t>
  </si>
  <si>
    <t>% reductions; Bone fracture; Data reduction; Fracture; Fracture reduction; Fracture Reduction; Interaction; Optimal reductions; Reduction algorithms; Traumatology; Usability; Validation; Virtual reality; Virtual Reality; Virtual worlds</t>
  </si>
  <si>
    <t>DT382VUK</t>
  </si>
  <si>
    <t>Nagy, Akos; Spyridis, Yannis; Mills, Gregory J; Argyriou, Vasileios</t>
  </si>
  <si>
    <t>User Experience Evaluation of AR Assisted Industrial Maintenance and Support Applications</t>
  </si>
  <si>
    <t>10.1109/ICVR62393.2024.10869099</t>
  </si>
  <si>
    <t>https://ieeexplore.ieee.org/document/10869099/</t>
  </si>
  <si>
    <t>270-277</t>
  </si>
  <si>
    <t>QQXUIQ3X</t>
  </si>
  <si>
    <t>Pranoto, Hady; Tho, Cuk; Warnars, Harco Leslie Hendric Spits; Abdurachman, Edi; Gaol, Ford Lumban; Soewito, Benfano</t>
  </si>
  <si>
    <t>Usability testing method in augmented reality application</t>
  </si>
  <si>
    <t>2017 International Conference on Information Management and Technology (ICIMTech)</t>
  </si>
  <si>
    <t>978-1-5386-2930-7</t>
  </si>
  <si>
    <t>10.1109/ICIMTech.2017.8273534</t>
  </si>
  <si>
    <t>http://ieeexplore.ieee.org/document/8273534/</t>
  </si>
  <si>
    <t>2017-11</t>
  </si>
  <si>
    <t>181-186</t>
  </si>
  <si>
    <t>Yogyakarta</t>
  </si>
  <si>
    <t>DL3IHI6B</t>
  </si>
  <si>
    <t>Shrestha, Saurav; Shan, Yongwei; Emerson, Robert; Hosseini, Zahrasadat</t>
  </si>
  <si>
    <t>Developing and Usability Testing of an Augmented Reality Tool for Online Engineering Education</t>
  </si>
  <si>
    <t>IEEE Transactions on Learning Technologies</t>
  </si>
  <si>
    <t>1939-1382, 2372-0050</t>
  </si>
  <si>
    <t>10.1109/TLT.2024.3520413</t>
  </si>
  <si>
    <t>https://ieeexplore.ieee.org/document/10816555/</t>
  </si>
  <si>
    <t>13-24</t>
  </si>
  <si>
    <t>IEEE Trans. Learning Technol.</t>
  </si>
  <si>
    <t>WAYKMC93</t>
  </si>
  <si>
    <t>Romadlon Junaidi, Ahsan; Irvan, Muchamad; Yuwono, Joko; Arif Dewantoro, Dimas; Alamsyah, Yovie; Wagis Mulyawati, Nur</t>
  </si>
  <si>
    <t>Usability Testing of Developed Virtual Reality Environment to Enhance Communication Skills for Children with Low Functioning Autism Spectrum Disorder</t>
  </si>
  <si>
    <t>2022 2nd International Conference on Information Technology and Education (ICIT&amp;E)</t>
  </si>
  <si>
    <t>978-1-6654-9433-5</t>
  </si>
  <si>
    <t>10.1109/ICITE54466.2022.9759890</t>
  </si>
  <si>
    <t>https://ieeexplore.ieee.org/document/9759890/</t>
  </si>
  <si>
    <t>339-346</t>
  </si>
  <si>
    <t>4REUQT2E</t>
  </si>
  <si>
    <t>Seel, Mariella; Andorfer, Michael; Heller, Mario; Jakl, Andreas</t>
  </si>
  <si>
    <t>KARLI: Kid-friendly Augmented Reality for Primary School Health Education</t>
  </si>
  <si>
    <t>10.1109/VRW55335.2022.00156</t>
  </si>
  <si>
    <t>https://ieeexplore.ieee.org/document/9757475/</t>
  </si>
  <si>
    <t>610-611</t>
  </si>
  <si>
    <t>KARLI</t>
  </si>
  <si>
    <t>MLR2YCZ6</t>
  </si>
  <si>
    <t>Pavanatto, Leonardo; North, Chris; Bowman, Doug A.; Badea, Carmen; Stoakley, Richard</t>
  </si>
  <si>
    <t>Do we still need physical monitors? An evaluation of the usability of AR virtual monitors for productivity work</t>
  </si>
  <si>
    <t>10.1109/VR50410.2021.00103</t>
  </si>
  <si>
    <t>https://ieeexplore.ieee.org/document/9417776/</t>
  </si>
  <si>
    <t>759-767</t>
  </si>
  <si>
    <t>Do we still need physical monitors?</t>
  </si>
  <si>
    <t>Y27FFGC7</t>
  </si>
  <si>
    <t>Transon, Alan; Verhulst, Adrien; Normand, Jean-Marie; Moreau, Guillaume; Sugimoto, Maki</t>
  </si>
  <si>
    <t>Evaluation of facial expressions as an interaction mechanism and their impact on affect, workload and usability in an AR game</t>
  </si>
  <si>
    <t>2017 23rd International Conference on Virtual System &amp; Multimedia (VSMM)</t>
  </si>
  <si>
    <t>978-1-5386-4494-2</t>
  </si>
  <si>
    <t>10.1109/VSMM.2017.8346263</t>
  </si>
  <si>
    <t>https://ieeexplore.ieee.org/document/8346263/</t>
  </si>
  <si>
    <t>2017-10</t>
  </si>
  <si>
    <t>Dublin</t>
  </si>
  <si>
    <t>/Users/dennis/Zotero/storage/AMQ3VXI3/Transon et al. - 2017 - Evaluation of facial expressions as an interaction mechanism and their impact on affect, workload an.pdf</t>
  </si>
  <si>
    <t>KNG76RGC</t>
  </si>
  <si>
    <t>Zainuddin, Norziha Megat Mohd.; Zaman, Halimah Badioze; Ahmad, Azlina</t>
  </si>
  <si>
    <t>Heuristic evaluation on Augmented Reality courseware for the deaf</t>
  </si>
  <si>
    <t>2011 International Conference on User Science and Engineering (i-USEr )</t>
  </si>
  <si>
    <t>978-1-4577-1655-3 978-1-4577-1654-6 978-1-4577-1653-9</t>
  </si>
  <si>
    <t>10.1109/iUSEr.2011.6150562</t>
  </si>
  <si>
    <t>http://ieeexplore.ieee.org/document/6150562/</t>
  </si>
  <si>
    <t>2011-11</t>
  </si>
  <si>
    <t>183-188</t>
  </si>
  <si>
    <t>Selangor, Malaysia</t>
  </si>
  <si>
    <t>2011 International Conference on User Science and Engineering (i-USEr 2011)</t>
  </si>
  <si>
    <t>9C8FX9KE</t>
  </si>
  <si>
    <t>Pereira, Ricardo; Silvério, Ricardo; Marto, Anabela; Ribeiro, Roberto; Gonçalves, Alexandrino; Rodrigues, Nuno</t>
  </si>
  <si>
    <t>BraveHearts AR – A Mobile Game to Reduce Fear in Pediatric Surgery</t>
  </si>
  <si>
    <t>2024 International Conference on Graphics and Interaction (ICGI)</t>
  </si>
  <si>
    <t>979-8-3315-3599-5</t>
  </si>
  <si>
    <t>10.1109/ICGI64003.2024.10923770</t>
  </si>
  <si>
    <t>https://ieeexplore.ieee.org/document/10923770/</t>
  </si>
  <si>
    <t>Vila Real, Portugal</t>
  </si>
  <si>
    <t>PYR689Z2</t>
  </si>
  <si>
    <t>Vailland, Guillaume; Devigne, Louise; Pasteau, Francois; Nouviale, Florian; Fraudet, Bastien; Leblong, Emilie; Babel, Marie; Gouranton, Valerie</t>
  </si>
  <si>
    <t>VR based Power Wheelchair Simulator: Usability Evaluation through a Clinically Validated Task with Regular Users</t>
  </si>
  <si>
    <t>10.1109/VR50410.2021.00065</t>
  </si>
  <si>
    <t>https://ieeexplore.ieee.org/document/9417686/</t>
  </si>
  <si>
    <t>420-427</t>
  </si>
  <si>
    <t>VR based Power Wheelchair Simulator</t>
  </si>
  <si>
    <t>/Users/dennis/Zotero/storage/7U8ZCS2S/Vailland et al. - 2021 - VR based Power Wheelchair Simulator Usability Evaluation through a Clinically Validated Task with R.pdf</t>
  </si>
  <si>
    <t>4JK3VUTL</t>
  </si>
  <si>
    <t>Calandra, Davide; Lamberti, Fabrizio; Migliorini, Massimo</t>
  </si>
  <si>
    <t>On the Usability of Consumer Locomotion Techniques in Serious Games: Comparing Arm Swinging, Treadmills and Walk-in-Place</t>
  </si>
  <si>
    <t>2019 IEEE 9th International Conference on Consumer Electronics (ICCE-Berlin)</t>
  </si>
  <si>
    <t>978-1-7281-2745-3</t>
  </si>
  <si>
    <t>10.1109/ICCE-Berlin47944.2019.8966165</t>
  </si>
  <si>
    <t>https://ieeexplore.ieee.org/document/8966165/</t>
  </si>
  <si>
    <t>348-352</t>
  </si>
  <si>
    <t>On the Usability of Consumer Locomotion Techniques in Serious Games</t>
  </si>
  <si>
    <t>Berlin, Germany</t>
  </si>
  <si>
    <t>NHHQ698P</t>
  </si>
  <si>
    <t>Harrington, Maria C. R.</t>
  </si>
  <si>
    <t>Connecting User Experience to Learning in an Evaluation of an Immersive, Interactive, Multimodal Augmented Reality Virtual Diorama in a Natural History Museum &amp; the Importance of Story</t>
  </si>
  <si>
    <t>2020 6th International Conference of the Immersive Learning Research Network (iLRN)</t>
  </si>
  <si>
    <t>978-1-7348995-0-4</t>
  </si>
  <si>
    <t>10.23919/iLRN47897.2020.9155202</t>
  </si>
  <si>
    <t>https://ieeexplore.ieee.org/document/9155202/</t>
  </si>
  <si>
    <t>2020-06</t>
  </si>
  <si>
    <t>70-78</t>
  </si>
  <si>
    <t>San Luis Obispo, CA, USA</t>
  </si>
  <si>
    <t>PRT64TCS</t>
  </si>
  <si>
    <t>Mikhailova, Veronika; Gerhardt, Christoph; Kunert, Christian; Schwandt, Tobias; Weidner, Florian; Broll, Wolfgang; Döring, Nicola</t>
  </si>
  <si>
    <t>Age and Realism of Avatars in Simulated Augmented Reality: Experimental Evaluation of Anticipated User Experience</t>
  </si>
  <si>
    <t>2024 IEEE Conference Virtual Reality and 3D User Interfaces (VR)</t>
  </si>
  <si>
    <t>979-8-3503-7402-5</t>
  </si>
  <si>
    <t>10.1109/VR58804.2024.00032</t>
  </si>
  <si>
    <t>https://ieeexplore.ieee.org/document/10494128/</t>
  </si>
  <si>
    <t>83-93</t>
  </si>
  <si>
    <t>Age and Realism of Avatars in Simulated Augmented Reality</t>
  </si>
  <si>
    <t>/Users/dennis/Zotero/storage/V9NQJALG/Mikhailova et al. - 2024 - Age and Realism of Avatars in Simulated Augmented Reality Experimental Evaluation of Anticipated Us.pdf</t>
  </si>
  <si>
    <t>User interfaces; User experience; Human-centered computing; User studies; Human computer interaction (HCI); Aging; Avatars; Focusing; Hair; HCI design and evaluation methods; Interaction paradigms; Mixed / augmented reality; Three-dimensional displays</t>
  </si>
  <si>
    <t>AMBDU7E8</t>
  </si>
  <si>
    <t>Suzuki, Muhammad Daniel; Hidayah Mat Zain, Nurul; Ismail, Ismassabah</t>
  </si>
  <si>
    <t>User Experience Evaluation in Immersive Virtual Reality Serious Game: A Research Design</t>
  </si>
  <si>
    <t>2022 IEEE 12th Symposium on Computer Applications &amp; Industrial Electronics (ISCAIE)</t>
  </si>
  <si>
    <t>978-1-6654-8703-0</t>
  </si>
  <si>
    <t>10.1109/ISCAIE54458.2022.9794516</t>
  </si>
  <si>
    <t>https://ieeexplore.ieee.org/document/9794516/</t>
  </si>
  <si>
    <t>305-310</t>
  </si>
  <si>
    <t>User Experience Evaluation in Immersive Virtual Reality Serious Game</t>
  </si>
  <si>
    <t>Penang, Malaysia</t>
  </si>
  <si>
    <t>7TF6TGVQ</t>
  </si>
  <si>
    <t>Che, Xiaoping; Ma, Siqi; Yu, Qi; Yue, Chenfeng</t>
  </si>
  <si>
    <t>An Event-Based User Experience Evaluation Method for Virtual Reality Applications</t>
  </si>
  <si>
    <t>2019 IEEE SmartWorld, Ubiquitous Intelligence &amp; Computing, Advanced &amp; Trusted Computing, Scalable Computing &amp; Communications, Cloud &amp; Big Data Computing, Internet of People and Smart City Innovation (SmartWorld/SCALCOM/UIC/ATC/CBDCom/IOP/SCI)</t>
  </si>
  <si>
    <t>978-1-7281-4034-6</t>
  </si>
  <si>
    <t>10.1109/SmartWorld-UIC-ATC-SCALCOM-IOP-SCI.2019.00164</t>
  </si>
  <si>
    <t>https://ieeexplore.ieee.org/document/9060384/</t>
  </si>
  <si>
    <t>767-774</t>
  </si>
  <si>
    <t>Leicester, United Kingdom</t>
  </si>
  <si>
    <t>CRKMLL37</t>
  </si>
  <si>
    <t>Borman, Rohmat Indra; Putra, Yogi Purnomo; Fernando, Yusra; Kurniawan, Dwi Ely; Prasetyawan, Purwono; Ahmad, Imam</t>
  </si>
  <si>
    <t>Designing an Android-based Space Travel Application Trough Virtual Reality for Teaching Media</t>
  </si>
  <si>
    <t>2018 International Conference on Applied Engineering (ICAE)</t>
  </si>
  <si>
    <t>978-1-5386-8066-7</t>
  </si>
  <si>
    <t>10.1109/INCAE.2018.8579394</t>
  </si>
  <si>
    <t>https://ieeexplore.ieee.org/document/8579394/</t>
  </si>
  <si>
    <t>Batam</t>
  </si>
  <si>
    <t>2BWAYBHT</t>
  </si>
  <si>
    <t>Isham, Muhammad Ismail Mat; Haron, Habibah Norehan Hj; Mohamed, Farhan Bin; Siang, Chan Vei; Mokhtar, Mohd Khalid; Azizo, Adlin Shaflina Binti</t>
  </si>
  <si>
    <t>Mobile VR and Marker Tracking Method Applied in Virtual Welding Simulation Kit for Welding Training</t>
  </si>
  <si>
    <t>2020 6th International Conference on Interactive Digital Media (ICIDM)</t>
  </si>
  <si>
    <t>978-1-7281-4928-8</t>
  </si>
  <si>
    <t>10.1109/ICIDM51048.2020.9339657</t>
  </si>
  <si>
    <t>https://ieeexplore.ieee.org/document/9339657/</t>
  </si>
  <si>
    <t>VSBKCWX8</t>
  </si>
  <si>
    <t>Holtkamp, Brian; Yun, Chang</t>
  </si>
  <si>
    <t>Analysis of Instructional Techniques Influence on a Robot Assembly Task</t>
  </si>
  <si>
    <t>2023 IEEE Gaming, Entertainment, and Media Conference (GEM)</t>
  </si>
  <si>
    <t>979-8-3503-1540-0</t>
  </si>
  <si>
    <t>10.1109/GEM59776.2023.10390352</t>
  </si>
  <si>
    <t>https://ieeexplore.ieee.org/document/10390352/</t>
  </si>
  <si>
    <t>Bridgetown, Barbados</t>
  </si>
  <si>
    <t>PGNBMF8W</t>
  </si>
  <si>
    <t>Jono, Mohd Nor Hajar Hasrol; Samah, Khyrina Airin Fariza Abu; Nasir, Zulkhairi Mohd; Saad, Shahadan; Latif, Wannoraini Abdul; Kamarudin, Nurul’ Azwa</t>
  </si>
  <si>
    <t>A Usability Study on the Adaptation of Virtual Reality for UiTM Melaka Immersive Walkthrough</t>
  </si>
  <si>
    <t>2023 IEEE International Conference on Automatic Control and Intelligent Systems (I2CACIS)</t>
  </si>
  <si>
    <t>979-8-3503-2130-2</t>
  </si>
  <si>
    <t>10.1109/I2CACIS57635.2023.10193715</t>
  </si>
  <si>
    <t>https://ieeexplore.ieee.org/document/10193715/</t>
  </si>
  <si>
    <t>310-314</t>
  </si>
  <si>
    <t>Shah Alam, Malaysia</t>
  </si>
  <si>
    <t>X47FB4PS</t>
  </si>
  <si>
    <t>Rodrigues, Paulo; Coelho, Hugo; Melo, Miguel; Bessa, Maximino</t>
  </si>
  <si>
    <t>Virtual Reality For Training: A Computer Assembly Application</t>
  </si>
  <si>
    <t>10.1109/ICGI57174.2022.9990539</t>
  </si>
  <si>
    <t>https://ieeexplore.ieee.org/document/9990539/</t>
  </si>
  <si>
    <t>Virtual Reality For Training</t>
  </si>
  <si>
    <t>DY72W6NU</t>
  </si>
  <si>
    <t>Postal, Manoela Rogofski Brum; Rieder, Rafael</t>
  </si>
  <si>
    <t>User Interface Evaluation Methods for Elderly: A Systematic Review</t>
  </si>
  <si>
    <t>2019 21st Symposium on Virtual and Augmented Reality (SVR)</t>
  </si>
  <si>
    <t>978-1-7281-5434-3</t>
  </si>
  <si>
    <t>10.1109/SVR.2019.00029</t>
  </si>
  <si>
    <t>https://ieeexplore.ieee.org/document/8921276/</t>
  </si>
  <si>
    <t>84-91</t>
  </si>
  <si>
    <t>User Interface Evaluation Methods for Elderly</t>
  </si>
  <si>
    <t>Rio de Janeiro, Brazil</t>
  </si>
  <si>
    <t>SL3WVLRA</t>
  </si>
  <si>
    <t>Mon, Chit Su; Yap, Kian Meng; Ahmad, Azlina</t>
  </si>
  <si>
    <t>Evaluation of 3DOHA enhanced Virtual Edutainment Application for Visually Impaired Users: A Pilot Study</t>
  </si>
  <si>
    <t>2019 IEEE International Symposium on Haptic, Audio and Visual Environments and Games (HAVE)</t>
  </si>
  <si>
    <t>978-1-7281-2355-4</t>
  </si>
  <si>
    <t>10.1109/HAVE.2019.8920889</t>
  </si>
  <si>
    <t>https://ieeexplore.ieee.org/document/8920889/</t>
  </si>
  <si>
    <t>Evaluation of 3DOHA enhanced Virtual Edutainment Application for Visually Impaired Users</t>
  </si>
  <si>
    <t>Subang Jaya, Malaysia</t>
  </si>
  <si>
    <t>FL664NYV</t>
  </si>
  <si>
    <t>Dias, M.; Jorge, J.; Carvalho, J.; Santos, P.; Luzio, J.</t>
  </si>
  <si>
    <t>Usability evaluation of tangible user interfaces for augmented reality</t>
  </si>
  <si>
    <t>IEE Review</t>
  </si>
  <si>
    <t>978-0-7803-8240-4</t>
  </si>
  <si>
    <t>10.1109/ART.2003.1320428</t>
  </si>
  <si>
    <t>http://ieeexplore.ieee.org/document/1320428/</t>
  </si>
  <si>
    <t>54-61</t>
  </si>
  <si>
    <t>Tokyo, Japan</t>
  </si>
  <si>
    <t>/Users/dennis/Zotero/storage/Z56LRD3H/Dias et al. - 2003 - Usability evaluation of tangible user interfaces for augmented reality.pdf</t>
  </si>
  <si>
    <t>2003 IEEE Internation Augmented Reality Toolkit Workshop</t>
  </si>
  <si>
    <t>6USZRZ25</t>
  </si>
  <si>
    <t>Weiss, Hannah; Stirling, Leia</t>
  </si>
  <si>
    <t>Usability Evaluation of an Augmented Reality Sensorimotor Assessment Tool for Astronauts</t>
  </si>
  <si>
    <t>2023 IEEE Aerospace Conference</t>
  </si>
  <si>
    <t>978-1-6654-9032-0</t>
  </si>
  <si>
    <t>10.1109/AERO55745.2023.10115780</t>
  </si>
  <si>
    <t>https://ieeexplore.ieee.org/document/10115780/</t>
  </si>
  <si>
    <t>Big Sky, MT, USA</t>
  </si>
  <si>
    <t>4369P5SD</t>
  </si>
  <si>
    <t>Irshad, Shafaq; Rohaya Bt Awang Rambli, Dayang</t>
  </si>
  <si>
    <t>User experience of mobile augmented reality: A review of studies</t>
  </si>
  <si>
    <t>2014 3rd International Conference on User Science and Engineering (i-USEr)</t>
  </si>
  <si>
    <t>978-1-4799-5813-9 978-1-4799-5812-2</t>
  </si>
  <si>
    <t>10.1109/IUSER.2014.7002689</t>
  </si>
  <si>
    <t>http://ieeexplore.ieee.org/document/7002689/</t>
  </si>
  <si>
    <t>2014-09</t>
  </si>
  <si>
    <t>125-130</t>
  </si>
  <si>
    <t>User experience of mobile augmented reality</t>
  </si>
  <si>
    <t>XM3DACYU</t>
  </si>
  <si>
    <t>Bellei, Ericles Andrei; Biduski, Daiana; Brock, Lays Andressa; Patricio, Diego Inacio; Souza, Jhonatan De Lima De; Marchi, Ana Carolina Bertoletti De; Rieder, Rafael</t>
  </si>
  <si>
    <t>Prior Experience as an Influencer in the Momentary User Experience: An Assessment in Immersive Virtual Reality Game Context</t>
  </si>
  <si>
    <t>2018 20th Symposium on Virtual and Augmented Reality (SVR)</t>
  </si>
  <si>
    <t>978-1-7281-0604-5</t>
  </si>
  <si>
    <t>10.1109/SVR.2018.00014</t>
  </si>
  <si>
    <t>https://ieeexplore.ieee.org/document/8802452/</t>
  </si>
  <si>
    <t>Prior Experience as an Influencer in the Momentary User Experience</t>
  </si>
  <si>
    <t>Foz do Iguaçu, Brazil</t>
  </si>
  <si>
    <t>VVY4R7C4</t>
  </si>
  <si>
    <t>Haramina, Emilia; Paladin, Mateo; Petričušić, Zdravko; Posarić, Fran; Drobnjak, Antun; Botički, Ivica</t>
  </si>
  <si>
    <t>Learning Algorithms Concepts in a Virtual Reality Escape Room</t>
  </si>
  <si>
    <t>2024 47th MIPRO ICT and Electronics Convention (MIPRO)</t>
  </si>
  <si>
    <t>979-8-3503-8250-1</t>
  </si>
  <si>
    <t>10.1109/MIPRO60963.2024.10569447</t>
  </si>
  <si>
    <t>https://ieeexplore.ieee.org/document/10569447/</t>
  </si>
  <si>
    <t>2057-2062</t>
  </si>
  <si>
    <t>Opatija, Croatia</t>
  </si>
  <si>
    <t>9ACH485M</t>
  </si>
  <si>
    <t>Basumatary, Dipali; Das, Debojeet; Chakraborty, Swaubhik; Biswas, Sourav Kumar; Maity, Ranjan</t>
  </si>
  <si>
    <t>Development and Testing of ‘TeachAR’ – A Web-Based Augmented Reality Teaching Platform</t>
  </si>
  <si>
    <t>2024 2nd World Conference on Communication &amp;amp; Computing (WCONF)</t>
  </si>
  <si>
    <t>979-8-3503-9532-7</t>
  </si>
  <si>
    <t>10.1109/WCONF61366.2024.10692207</t>
  </si>
  <si>
    <t>https://ieeexplore.ieee.org/document/10692207/</t>
  </si>
  <si>
    <t>RAIPUR, India</t>
  </si>
  <si>
    <t>Web applications; Usability engineering; augmented reality; Augmented reality; usability testing; 3D modeling; Students; Teaching; E-learning; WEB application; Usability testing; Development and testing; E - learning; e-learning; education; Federated learning; Teachers'; Teaching and learning; Teaching platform; Web-based augmented realities; WebAR</t>
  </si>
  <si>
    <t>WBUZ3SQ5</t>
  </si>
  <si>
    <t>Döllinger, Nina; Beck, Matthias; Wolf, Erik; Mal, David; Botsch, Mario; Latoschik, Marc Erich; Wienrich, Carolin</t>
  </si>
  <si>
    <t>“If It’s Not Me It Doesn’t Make a Difference” - The Impact of Avatar Personalization on user Experience and Body Awareness in Virtual Reality</t>
  </si>
  <si>
    <t>2023 IEEE International Symposium on Mixed and Augmented Reality (ISMAR)</t>
  </si>
  <si>
    <t>979-8-3503-2838-7</t>
  </si>
  <si>
    <t>10.1109/ISMAR59233.2023.00063</t>
  </si>
  <si>
    <t>https://ieeexplore.ieee.org/document/10316447/</t>
  </si>
  <si>
    <t>483-492</t>
  </si>
  <si>
    <t>/Users/dennis/Zotero/storage/EVB7ZX4B/Döllinger et al. - 2023 - “If It’s Not Me It Doesn’t Make a Difference” - The Impact of Avatar Personalization on user Experie.pdf</t>
  </si>
  <si>
    <t>4A5XEA3C</t>
  </si>
  <si>
    <t>Martins, Valeria Farinazzo; Correa, Ana Grasielle Dionisio; De Paiva Guimaraes, Marcelo</t>
  </si>
  <si>
    <t>Usability inspection of a smart TV</t>
  </si>
  <si>
    <t>2014 9th Iberian Conference on Information Systems and Technologies (CISTI)</t>
  </si>
  <si>
    <t>978-989-98434-3-1</t>
  </si>
  <si>
    <t>10.1109/CISTI.2014.6877010</t>
  </si>
  <si>
    <t>https://ieeexplore.ieee.org/document/6877010</t>
  </si>
  <si>
    <t>2014-06</t>
  </si>
  <si>
    <t>Barcelona, Spain</t>
  </si>
  <si>
    <t>ZC3VALWL</t>
  </si>
  <si>
    <t>Ismail, Heba; Al-Dubaisi, Ahmed Hadi</t>
  </si>
  <si>
    <t>Metaverse in Education Beyond Instructional and 3D Design: A Usability Evaluation</t>
  </si>
  <si>
    <t>2024 4th Interdisciplinary Conference on Electrics and Computer (INTCEC)</t>
  </si>
  <si>
    <t>979-8-3503-4945-0</t>
  </si>
  <si>
    <t>10.1109/INTCEC61833.2024.10602949</t>
  </si>
  <si>
    <t>https://ieeexplore.ieee.org/document/10602949/</t>
  </si>
  <si>
    <t>Metaverse in Education Beyond Instructional and 3D Design</t>
  </si>
  <si>
    <t>Chicago, IL, USA</t>
  </si>
  <si>
    <t>ZCEJZ9T9</t>
  </si>
  <si>
    <t>Opoku-Baah, Collins; Erkelens, Ian; Qian, Ruobing; Sharma, Robin</t>
  </si>
  <si>
    <t>A Binocular Model to Evaluate User Experience in Ophthalmic and AR Prescription Lens Designs</t>
  </si>
  <si>
    <t>10.1109/ISMAR-Adjunct57072.2022.00130</t>
  </si>
  <si>
    <t>https://ieeexplore.ieee.org/document/9974351/</t>
  </si>
  <si>
    <t>628-633</t>
  </si>
  <si>
    <t>LMF8GJIB</t>
  </si>
  <si>
    <t>Goumopoulos, Christos; Drakakis, Emmanouil; Gklavakis, Dimitris</t>
  </si>
  <si>
    <t>Augmented and Virtual Reality Based Exergames in GAME2AWE for Elderly Fall Prevention</t>
  </si>
  <si>
    <t>2022 18th International Conference on Wireless and Mobile Computing, Networking and Communications (WiMob)</t>
  </si>
  <si>
    <t>978-1-6654-6975-3</t>
  </si>
  <si>
    <t>10.1109/WiMob55322.2022.9941651</t>
  </si>
  <si>
    <t>https://ieeexplore.ieee.org/document/9941651/</t>
  </si>
  <si>
    <t>100-105</t>
  </si>
  <si>
    <t>Thessaloniki, Greece</t>
  </si>
  <si>
    <t>8WP3BG8A</t>
  </si>
  <si>
    <t>Mahmud, M. Rasel; Stewart, Michael; Cordova, Alberto; Quarles, John</t>
  </si>
  <si>
    <t>Auditory Feedback to Make Walking in Virtual Reality More Accessible</t>
  </si>
  <si>
    <t>2022 IEEE International Symposium on Mixed and Augmented Reality (ISMAR)</t>
  </si>
  <si>
    <t>978-1-6654-5325-7</t>
  </si>
  <si>
    <t>10.1109/ISMAR55827.2022.00103</t>
  </si>
  <si>
    <t>https://ieeexplore.ieee.org/document/9995441/</t>
  </si>
  <si>
    <t>847-856</t>
  </si>
  <si>
    <t>/Users/dennis/Zotero/storage/NQ76Y3CU/Mahmud et al. - 2022 - Auditory Feedback to Make Walking in Virtual Reality More Accessible.pdf</t>
  </si>
  <si>
    <t>CFXDR833</t>
  </si>
  <si>
    <t>Abu Shanab, Shatha; Odeh, Salaheddin; Hodrob, Rami; Anabtawi, Mahasen</t>
  </si>
  <si>
    <t>Augmented reality internet labs versus hands-on and virtual labs: A comparative study</t>
  </si>
  <si>
    <t>Proceedings of 2012 International Conference on Interactive Mobile and Computer Aided Learning (IMCL)</t>
  </si>
  <si>
    <t>978-1-4673-4925-3 978-1-4673-4924-6 978-1-4673-4923-9</t>
  </si>
  <si>
    <t>10.1109/IMCL.2012.6396444</t>
  </si>
  <si>
    <t>http://ieeexplore.ieee.org/document/6396444/</t>
  </si>
  <si>
    <t>17-21</t>
  </si>
  <si>
    <t>Augmented reality internet labs versus hands-on and virtual labs</t>
  </si>
  <si>
    <t>2012 International Conference on Interactive Mobile and Computer Aided Learning (IMCL)</t>
  </si>
  <si>
    <t>A3WYX2M5</t>
  </si>
  <si>
    <t>Chalimas, Theodoros; Mania, Katerina</t>
  </si>
  <si>
    <t>Cross-Device Augmented Reality Systems for Fire and Rescue based on Thermal Imaging and Live Tracking</t>
  </si>
  <si>
    <t>10.1109/ISMAR-Adjunct60411.2023.00018</t>
  </si>
  <si>
    <t>https://ieeexplore.ieee.org/document/10322255/</t>
  </si>
  <si>
    <t>50-54</t>
  </si>
  <si>
    <t>682MRRCE</t>
  </si>
  <si>
    <t>Prilla, Michael; Mantel, Alexander Marc</t>
  </si>
  <si>
    <t>Analysing a UI’s Impact on the Usability of Hands-free Interaction on Smart Glasses</t>
  </si>
  <si>
    <t>2021 IEEE International Symposium on Mixed and Augmented Reality Adjunct (ISMAR-Adjunct)</t>
  </si>
  <si>
    <t>978-1-6654-1298-8</t>
  </si>
  <si>
    <t>10.1109/ISMAR-Adjunct54149.2021.00095</t>
  </si>
  <si>
    <t>https://ieeexplore.ieee.org/document/9585833/</t>
  </si>
  <si>
    <t>421-426</t>
  </si>
  <si>
    <t>WFFF9Z5L</t>
  </si>
  <si>
    <t>Jiang, Haiyan; Weng, Dongdong; Zhang, Zhenliang; Bao, Yihua; Jia, Yufei; Nie, Mengman</t>
  </si>
  <si>
    <t>HiKeyb: High-Efficiency Mixed Reality System for Text Entry</t>
  </si>
  <si>
    <t>10.1109/ISMAR-Adjunct.2018.00051</t>
  </si>
  <si>
    <t>https://ieeexplore.ieee.org/document/8699306/</t>
  </si>
  <si>
    <t>132-137</t>
  </si>
  <si>
    <t>HiKeyb</t>
  </si>
  <si>
    <t>CLCUUK4A</t>
  </si>
  <si>
    <t>Nidhom, Ahmad Mursyidun; Dyah K N, Gres; Putra, Andika Bagus Nur Rahma; Smaragdina, Azhar Ahmad; Hakiki, Muhamad Akhsan</t>
  </si>
  <si>
    <t>Effectiveness of Cup Sealer Based Smart Augmented Reality (SAR) Module for Citrus Farmers During The Pandemic</t>
  </si>
  <si>
    <t>2021 International Research Symposium On Advanced Engineering And Vocational Education (IRSAEVE)</t>
  </si>
  <si>
    <t>978-1-6654-4223-7</t>
  </si>
  <si>
    <t>10.1109/IRSAEVE52613.2021.9604019</t>
  </si>
  <si>
    <t>https://ieeexplore.ieee.org/document/9604019/</t>
  </si>
  <si>
    <t>Augmented reality; Condition; Usability tests; Object detection; Citrus fruits; Cup sealer; Cup Sealer; Efficiency; Efficiency levels; Eligibility criterion; Food distribution; Object design; Ready to use; Smart augmented reality; Smart Augmented Reality</t>
  </si>
  <si>
    <t>8WLKAR8R</t>
  </si>
  <si>
    <t>Kao, Peng-Yuan; Han, Ping-Hsuan; Jan, Yao-Fu; Yang, Zhi-Wei; Li, Chun-Hsien; Hung, Yi-Ping</t>
  </si>
  <si>
    <t>On Learning Weight Distribution of Tai Chi Chuan Using Pressure Sensing Insoles and MR-HMD</t>
  </si>
  <si>
    <t>10.1109/VR.2019.8797986</t>
  </si>
  <si>
    <t>https://ieeexplore.ieee.org/document/8797986/</t>
  </si>
  <si>
    <t>1457-1464</t>
  </si>
  <si>
    <t>NL9P9PFT</t>
  </si>
  <si>
    <t>Dastan, Mine; Fiorentino, Michele; Walter, Elias D.; Diegritz, Christian; Uva, Antonio E.; Eck, Ulrich; Navab, Nassir</t>
  </si>
  <si>
    <t>Co-Designing Dynamic Mixed Reality Drill Positioning Widgets: A Collaborative Approach with Dentists in a Realistic Setup</t>
  </si>
  <si>
    <t>1077-2626, 1941-0506, 2160-9306</t>
  </si>
  <si>
    <t>10.1109/TVCG.2024.3456149</t>
  </si>
  <si>
    <t>https://ieeexplore.ieee.org/document/10669748/</t>
  </si>
  <si>
    <t>2024-11</t>
  </si>
  <si>
    <t>7053-7063</t>
  </si>
  <si>
    <t>Co-Designing Dynamic Mixed Reality Drill Positioning Widgets</t>
  </si>
  <si>
    <t>FRWAUZGM</t>
  </si>
  <si>
    <t>Criollo-C, Santiago; Guerrero-Arias, Andrea; Dwinggo Samala, Agariadne; Miftachul Arif, Yunifa; Luján-Mora, Sergio</t>
  </si>
  <si>
    <t>Enhancing the Educational Model Using Mixed Reality Technologies With Meta Quest 3: A Usability Analysis Using IBM-CSUQ</t>
  </si>
  <si>
    <t>IEEE Access</t>
  </si>
  <si>
    <t>2169-3536</t>
  </si>
  <si>
    <t>10.1109/ACCESS.2025.3555930</t>
  </si>
  <si>
    <t>https://ieeexplore.ieee.org/document/10945303/</t>
  </si>
  <si>
    <t>56930-56945</t>
  </si>
  <si>
    <t>Enhancing the Educational Model Using Mixed Reality Technologies With Meta Quest 3</t>
  </si>
  <si>
    <t>https://creativecommons.org/licenses/by/4.0/legalcode</t>
  </si>
  <si>
    <t>/Users/dennis/Zotero/storage/I9LA3TRU/Criollo-C et al. - 2025 - Enhancing the Educational Model Using Mixed Reality Technologies With Meta Quest 3 A Usability Anal.pdf</t>
  </si>
  <si>
    <t>A432AAZM</t>
  </si>
  <si>
    <t>Sani, Zaidatol Haslinda Abdullah; Nizam, Dinna Nina Mohd; Naim, Nur Faraha Mohd; Amat, Nur Asmiaty</t>
  </si>
  <si>
    <t>Bringing Culture to Life: A Usability Study of Web-AR Folklore Storytelling</t>
  </si>
  <si>
    <t>2024 IEEE International Conference on Computing (ICOCO)</t>
  </si>
  <si>
    <t>979-8-3315-3030-3</t>
  </si>
  <si>
    <t>10.1109/ICOCO62848.2024.10928196</t>
  </si>
  <si>
    <t>https://ieeexplore.ieee.org/document/10928196/</t>
  </si>
  <si>
    <t>183-189</t>
  </si>
  <si>
    <t>Bringing Culture to Life</t>
  </si>
  <si>
    <t>Kuala Lumpur, Malaysia</t>
  </si>
  <si>
    <t>TDLVVT7I</t>
  </si>
  <si>
    <t>Cejka, Jan; Mangeruga, Marino; Bruno, Fabio; Skarlatos, Dimitrios; Liarokapis, Fotis</t>
  </si>
  <si>
    <t>Evaluating the Potential of Augmented Reality Interfaces for Exploring Underwater Historical Sites</t>
  </si>
  <si>
    <t>10.1109/ACCESS.2021.3059978</t>
  </si>
  <si>
    <t>https://ieeexplore.ieee.org/document/9355135/</t>
  </si>
  <si>
    <t>45017-45031</t>
  </si>
  <si>
    <t>/Users/dennis/Zotero/storage/WM2J5KH8/Cejka et al. - 2021 - Evaluating the Potential of Augmented Reality Interfaces for Exploring Underwater Historical Sites.pdf</t>
  </si>
  <si>
    <t>AQRWC8XU</t>
  </si>
  <si>
    <t>Yoo, Eunji; Kwon, Ohyang; Yu, Jeongmin</t>
  </si>
  <si>
    <t>Evaluation of an Augmented Reality for Historical Context Experiences of 3D Restored Court Paintings</t>
  </si>
  <si>
    <t>10.1109/ACCESS.2023.3268528</t>
  </si>
  <si>
    <t>https://ieeexplore.ieee.org/document/10105268/</t>
  </si>
  <si>
    <t>39197-39212</t>
  </si>
  <si>
    <t>/Users/dennis/Zotero/storage/TQMGAN5X/Yoo et al. - 2023 - Evaluation of an Augmented Reality for Historical Context Experiences of 3D Restored Court Paintings.pdf</t>
  </si>
  <si>
    <t>QFMAC3UJ</t>
  </si>
  <si>
    <t>Online user survey on current mobile augmented reality applications</t>
  </si>
  <si>
    <t>2011 10th IEEE International Symposium on Mixed and Augmented Reality</t>
  </si>
  <si>
    <t>978-1-4577-2185-4 978-1-4577-2183-0 978-1-4577-2184-7</t>
  </si>
  <si>
    <t>10.1109/ISMAR.2011.6092372</t>
  </si>
  <si>
    <t>http://ieeexplore.ieee.org/document/6162874/</t>
  </si>
  <si>
    <t>2011-10</t>
  </si>
  <si>
    <t>75-84</t>
  </si>
  <si>
    <t>Basel</t>
  </si>
  <si>
    <t>2011 IEEE International Symposium on Mixed and Augmented Reality</t>
  </si>
  <si>
    <t>9QTCDAFN</t>
  </si>
  <si>
    <t>Martins, Nuno Cid; Araújo, Tiago; Marques, Bernardo; Rafael, Sandra; Dias, Paulo; Santos, Beatriz Sousa</t>
  </si>
  <si>
    <t>Navigating A(i)R Quality with Situated Visualization</t>
  </si>
  <si>
    <t>2024 28th International Conference Information Visualisation (IV)</t>
  </si>
  <si>
    <t>979-8-3503-8016-3</t>
  </si>
  <si>
    <t>10.1109/IV64223.2024.00016</t>
  </si>
  <si>
    <t>https://ieeexplore.ieee.org/document/10714262/</t>
  </si>
  <si>
    <t>31-38</t>
  </si>
  <si>
    <t>Coimbra, Portugal</t>
  </si>
  <si>
    <t>DNADD7W5</t>
  </si>
  <si>
    <t>Jakl, Andreas; Lienhart, Anna-Maria; Baumann, Clemens; Jalaeefar, Arian; Schlager, Alexander; Schoffer, Lucas; Bruckner, Franziska</t>
  </si>
  <si>
    <t>Enlightening Patients with Augmented Reality</t>
  </si>
  <si>
    <t>10.1109/VR46266.2020.00038</t>
  </si>
  <si>
    <t>https://ieeexplore.ieee.org/document/9089476/</t>
  </si>
  <si>
    <t>195-203</t>
  </si>
  <si>
    <t>8PK39GUU</t>
  </si>
  <si>
    <t>Khadka, Rajiv; Banic, Amy</t>
  </si>
  <si>
    <t>Body-Prop Interaction: Evaluation of Augmented Open Discs and Egocentric Body-Based Interaction</t>
  </si>
  <si>
    <t>10.1109/VR.2019.8797684</t>
  </si>
  <si>
    <t>https://ieeexplore.ieee.org/document/8797684/</t>
  </si>
  <si>
    <t>1705-1710</t>
  </si>
  <si>
    <t>Body-Prop Interaction</t>
  </si>
  <si>
    <t>MKLZC2Z8</t>
  </si>
  <si>
    <t>Aguilar, Samantha D.; Qian, Chengyuan; Monjoree, Uttamasha; Burte, Heather; Liew, Jeffrey; Queck, Francis; Yasskin, Philip; Song, Dezhen; Yan, Wei</t>
  </si>
  <si>
    <t>AR-Classroom Usability: Implications for UX Research on AR-Enabled Educational Technologies for 3D Matrix Algebra Learning</t>
  </si>
  <si>
    <t>2024 IEEE Frontiers in Education Conference (FIE)</t>
  </si>
  <si>
    <t>979-8-3503-5150-7</t>
  </si>
  <si>
    <t>10.1109/FIE61694.2024.10892900</t>
  </si>
  <si>
    <t>https://ieeexplore.ieee.org/document/10892900/</t>
  </si>
  <si>
    <t>AR-Classroom Usability</t>
  </si>
  <si>
    <t>Washington, DC, USA</t>
  </si>
  <si>
    <t>X9HT7YQU</t>
  </si>
  <si>
    <t>Ferrer, Leonardo; Garcia-Mancilla, Jesus; Gonzalez, Victor M.; Bermudez, Santiago; Bleier, Pedro; Prieto, Carlos</t>
  </si>
  <si>
    <t>Using augmented reality in urban context: Georeferenced system for business localization using Google Glass</t>
  </si>
  <si>
    <t>2015 IEEE First International Smart Cities Conference (ISC2)</t>
  </si>
  <si>
    <t>978-1-4673-6552-9</t>
  </si>
  <si>
    <t>10.1109/ISC2.2015.7366157</t>
  </si>
  <si>
    <t>http://ieeexplore.ieee.org/document/7366157/</t>
  </si>
  <si>
    <t>2015-10</t>
  </si>
  <si>
    <t>Using augmented reality in urban context</t>
  </si>
  <si>
    <t>Guadalajara, Mexico</t>
  </si>
  <si>
    <t>8BKGCN2N</t>
  </si>
  <si>
    <t>Manghisi, Vito Modesto; Martellotta, Francesco; Evangelista, Alessandro; Giliberti, Claudia; Mariconte, Raffaele; Diano, Maurizio; Galasso, Valerio; Uva, Antonio Emmanuele</t>
  </si>
  <si>
    <t>Investigating the Effects on User Performance and Perceived Workload of Environmental Noise in Immersive Virtual Reality</t>
  </si>
  <si>
    <t>2022 IEEE International Conference on Metrology for Extended Reality, Artificial Intelligence and Neural Engineering (MetroXRAINE)</t>
  </si>
  <si>
    <t>978-1-6654-8574-6</t>
  </si>
  <si>
    <t>10.1109/MetroXRAINE54828.2022.9967541</t>
  </si>
  <si>
    <t>https://ieeexplore.ieee.org/document/9967541/</t>
  </si>
  <si>
    <t>46-51</t>
  </si>
  <si>
    <t>Rome, Italy</t>
  </si>
  <si>
    <t>VQDGATDN</t>
  </si>
  <si>
    <t>Battegazzorre, Edoardo; Strada, Francesco; De Francesco, Lucia; Mazza, Alessandro; Monte, Olga Dal; Bottino, Andrea</t>
  </si>
  <si>
    <t>Influencer-Based Virtual Reality Stroop Task</t>
  </si>
  <si>
    <t>10.1109/ACCESS.2023.3324554</t>
  </si>
  <si>
    <t>https://ieeexplore.ieee.org/document/10285114/</t>
  </si>
  <si>
    <t>126420-126435</t>
  </si>
  <si>
    <t>/Users/dennis/Zotero/storage/NK3RL2NE/Battegazzorre et al. - 2023 - Influencer-Based Virtual Reality Stroop Task.pdf</t>
  </si>
  <si>
    <t>WKH5URFQ</t>
  </si>
  <si>
    <t>Cannavo, Alberto; Calandra, Davide; Prattico, F. Gabriele; Gatteschi, Valentina; Lamberti, Fabrizio</t>
  </si>
  <si>
    <t>An Evaluation Testbed for Locomotion in Virtual Reality</t>
  </si>
  <si>
    <t>10.1109/TVCG.2020.3032440</t>
  </si>
  <si>
    <t>https://ieeexplore.ieee.org/document/9234004/</t>
  </si>
  <si>
    <t>1871-1889</t>
  </si>
  <si>
    <t>/Users/dennis/Zotero/storage/FFRHLABK/Cannavo et al. - 2021 - An Evaluation Testbed for Locomotion in Virtual Reality.pdf</t>
  </si>
  <si>
    <t>CAM7SGZ2</t>
  </si>
  <si>
    <t>Bozgeyikli, Lal Lila; Bozgeyikli, Evren</t>
  </si>
  <si>
    <t>Tangiball: Foot-Enabled Embodied Tangible Interaction with a Ball in Virtual Reality</t>
  </si>
  <si>
    <t>2022 IEEE Conference on Virtual Reality and 3D User Interfaces (VR)</t>
  </si>
  <si>
    <t>978-1-6654-9617-9</t>
  </si>
  <si>
    <t>10.1109/VR51125.2022.00103</t>
  </si>
  <si>
    <t>https://ieeexplore.ieee.org/document/9756808/</t>
  </si>
  <si>
    <t>812-820</t>
  </si>
  <si>
    <t>Tangiball</t>
  </si>
  <si>
    <t>2022 IEEE on Conference Virtual Reality and 3D User Interfaces (VR)</t>
  </si>
  <si>
    <t>ZZP9U9NR</t>
  </si>
  <si>
    <t>Bian, Yulong; Yang, Chenglei; Gao, Fengqiang; Li, Hanchao; Sun, Xiaowen; Meng, Xiangxu; Wang, Yu</t>
  </si>
  <si>
    <t>A Physiological Evaluation Model for Flow-Experience in VR Games: Construction and Preliminary Test</t>
  </si>
  <si>
    <t>2015 International Conference on Identification, Information, and Knowledge in the Internet of Things (IIKI)</t>
  </si>
  <si>
    <t>978-1-4673-8637-1</t>
  </si>
  <si>
    <t>10.1109/IIKI.2015.59</t>
  </si>
  <si>
    <t>http://ieeexplore.ieee.org/document/7428363/</t>
  </si>
  <si>
    <t>244-249</t>
  </si>
  <si>
    <t>A Physiological Evaluation Model for Flow-Experience in VR Games</t>
  </si>
  <si>
    <t>Beijing, China</t>
  </si>
  <si>
    <t>UU99FH35</t>
  </si>
  <si>
    <t>Subandi, Subandi; Syahidi, Aulia Akhrian; Zakiah, Siti; Kiyokawa, Kiyoshi; Riyadi, Ahmad; Noor, M. Helmy</t>
  </si>
  <si>
    <t>Sasirangan Cloth Recognition and Shopping Experience Simulation Based on Virtual Reality Game with Non-Player Character Integration</t>
  </si>
  <si>
    <t>2022 8th International HCI and UX Conference in Indonesia (CHIuXiD)</t>
  </si>
  <si>
    <t>978-1-6654-7664-5</t>
  </si>
  <si>
    <t>10.1109/CHIuXiD57244.2022.10009705</t>
  </si>
  <si>
    <t>https://ieeexplore.ieee.org/document/10009705/</t>
  </si>
  <si>
    <t>53-58</t>
  </si>
  <si>
    <t>Bali, Indonesia</t>
  </si>
  <si>
    <t>LRNIUZQZ</t>
  </si>
  <si>
    <t>Aldhous, Joanna; Sobolewska, Emilia; Webster, Gemma</t>
  </si>
  <si>
    <t>Evaluating Human Experiences of Touching Virtual Reality: A State of The Art Review</t>
  </si>
  <si>
    <t>2024 IEEE International Conference on Metrology for eXtended Reality, Artificial Intelligence and Neural Engineering (MetroXRAINE)</t>
  </si>
  <si>
    <t>979-8-3503-7800-9</t>
  </si>
  <si>
    <t>10.1109/MetroXRAINE62247.2024.10797081</t>
  </si>
  <si>
    <t>https://ieeexplore.ieee.org/document/10797081/</t>
  </si>
  <si>
    <t>243-248</t>
  </si>
  <si>
    <t>Evaluating Human Experiences of Touching Virtual Reality</t>
  </si>
  <si>
    <t>St Albans, United Kingdom</t>
  </si>
  <si>
    <t>Z98BXRG8</t>
  </si>
  <si>
    <t>Delamarre, Alban; Lisetti, Christine; Buche, Cedric</t>
  </si>
  <si>
    <t>Modeling Emotions for Training in Immersive Simulations (METIS): A Cross-Platform Virtual Classroom Study</t>
  </si>
  <si>
    <t>2020 IEEE International Symposium on Mixed and Augmented Reality Adjunct (ISMAR-Adjunct)</t>
  </si>
  <si>
    <t>978-1-7281-7675-8</t>
  </si>
  <si>
    <t>10.1109/ISMAR-Adjunct51615.2020.00036</t>
  </si>
  <si>
    <t>https://ieeexplore.ieee.org/document/9288454/</t>
  </si>
  <si>
    <t>78-83</t>
  </si>
  <si>
    <t>Modeling Emotions for Training in Immersive Simulations (METIS)</t>
  </si>
  <si>
    <t>Recife, Brazil</t>
  </si>
  <si>
    <t>S2QS2UHT</t>
  </si>
  <si>
    <t>Kadri, Mohammed; Boubakri, Fatima-Ezzahra; Hwang, Gwo-Jen; Zahra Kaghat, Fatima; Azough, Ahmed; Alaoui Zidani, Khalid</t>
  </si>
  <si>
    <t>C-IVAL: A Longitudinal Study of Knowledge Retention and Technology Acceptance in Collaborative Virtual Reality-Based Medical Education</t>
  </si>
  <si>
    <t>10.1109/ACCESS.2024.3523860</t>
  </si>
  <si>
    <t>https://ieeexplore.ieee.org/document/10817604/</t>
  </si>
  <si>
    <t>16055-16071</t>
  </si>
  <si>
    <t>C-IVAL</t>
  </si>
  <si>
    <t>4GAFHR2X</t>
  </si>
  <si>
    <t>Morotti, Elena; Donatiello, Lorenzo; Marfia, Gustavo</t>
  </si>
  <si>
    <t>Fostering fashion retail experiences through virtual reality and voice assistants</t>
  </si>
  <si>
    <t>10.1109/VRW50115.2020.00074</t>
  </si>
  <si>
    <t>https://ieeexplore.ieee.org/document/9090462/</t>
  </si>
  <si>
    <t>338-342</t>
  </si>
  <si>
    <t>ZSG6ABRT</t>
  </si>
  <si>
    <t>Simon, Andreas</t>
  </si>
  <si>
    <t>Usability of Multiviewpoint Images for Spatial Interaction in Projection-Based Display Systems</t>
  </si>
  <si>
    <t>10.1109/TVCG.2007.23</t>
  </si>
  <si>
    <t>http://ieeexplore.ieee.org/document/4015395/</t>
  </si>
  <si>
    <t>2007-01</t>
  </si>
  <si>
    <t>26-33</t>
  </si>
  <si>
    <t>Collaborative computing; usability testing; virtual reality.</t>
  </si>
  <si>
    <t>WZ855PE5</t>
  </si>
  <si>
    <t>Young, Jacob; Pantidi, Nadia; Wood, Matthew</t>
  </si>
  <si>
    <t>I Can't See That! Considering the Readability of Small Objects in Virtual Environments</t>
  </si>
  <si>
    <t>10.1109/TVCG.2023.3247468</t>
  </si>
  <si>
    <t>https://ieeexplore.ieee.org/document/10050833/</t>
  </si>
  <si>
    <t>2567-2574</t>
  </si>
  <si>
    <t>D2RV6LK2</t>
  </si>
  <si>
    <t>Salagean, Anca; Wu, Michelle; Fletcher, George; Cosker, Darren; Fraser, Danaë Stanton</t>
  </si>
  <si>
    <t>The Utilitarian Virtual Self – Using Embodied Personalized Avatars to Investigate Moral Decision-Making in Semi-Autonomous Vehicle Dilemmas</t>
  </si>
  <si>
    <t>10.1109/TVCG.2024.3372121</t>
  </si>
  <si>
    <t>https://ieeexplore.ieee.org/document/10458355/</t>
  </si>
  <si>
    <t>2024-05</t>
  </si>
  <si>
    <t>2162-2172</t>
  </si>
  <si>
    <t>EXAE8MG2</t>
  </si>
  <si>
    <t>Naylor, Matthew; Morrison, Ben; Ridout, Brad; Campbell, Andrew</t>
  </si>
  <si>
    <t>Augmented Experiences: Investigating the Feasibility of Virtual Reality as Part of a Workplace Wellbeing Intervention</t>
  </si>
  <si>
    <t>10.1093/iwc/iwz033</t>
  </si>
  <si>
    <t>https://academic.oup.com/iwc/article/31/5/507/5643592</t>
  </si>
  <si>
    <t>Abstract                                           This exploratory experiment tested the effect of two virtual reality (VR) relaxation interventions on measures of physiological arousal and affect, compared to a control. Forty-nine participants were randomly assigned to one of three conditions, all using the Oculus Rift. Participants wore a heart rate (HR) monitor and completed pre- and post-test surveys, including the positive and negative affect schedule, Likert-type and open feedback questions. Mixed repeated measures ANOVAs revealed significant reductions in HR and affect over time across all conditions, with a significant interaction identified for the breathing condition’s effect on negative affect. Participants were able to identify feeling relaxation, as well as influencing factors. Further, the majority expected, and supported, the introduction of VR interventions in their workplace and/or college, with privacy being a common concern. These results demonstrate the potential of VR augmented relaxation interventions with recommendations for further study provided.                                         RESEARCH HIGHLIGHTS               VR can potentially provide wellbeing interventions with a uniquely immersive quality Results suggest interactive and immersive VR experiences may facilitate relaxation and reduce stress Participants believe there may be substantial benefits to having VR wellbeing interventions at work and college.</t>
  </si>
  <si>
    <t>507-523</t>
  </si>
  <si>
    <t>Augmented Experiences</t>
  </si>
  <si>
    <t>https://academic.oup.com/journals/pages/open_access/funder_policies/chorus/standard_publication_model</t>
  </si>
  <si>
    <t>F3ARUE37</t>
  </si>
  <si>
    <t>Bozgeyikli, Lal Lila; Bozgeyikli, Evren; Schnell, Christopher; Clark, Jaclynn</t>
  </si>
  <si>
    <t>Exploring Horizontally Flipped Interaction in Virtual Reality for Improving Spatial Ability</t>
  </si>
  <si>
    <t>10.1109/TVCG.2023.3320241</t>
  </si>
  <si>
    <t>https://ieeexplore.ieee.org/document/10285023/</t>
  </si>
  <si>
    <t>2023-11</t>
  </si>
  <si>
    <t>4514-4524</t>
  </si>
  <si>
    <t>FKB56QSW</t>
  </si>
  <si>
    <t>Wu, Xin-Han; Chu, Kuang-Kai; Hung, Yi-Ping; Huang, Yennun</t>
  </si>
  <si>
    <t>Visual Guidance in Interactive Virtual Reality*</t>
  </si>
  <si>
    <t>2023 International Conference on Intelligent Metaverse Technologies &amp; Applications (iMETA)</t>
  </si>
  <si>
    <t>979-8-3503-2845-5</t>
  </si>
  <si>
    <t>10.1109/iMETA59369.2023.10294335</t>
  </si>
  <si>
    <t>https://ieeexplore.ieee.org/document/10294335/</t>
  </si>
  <si>
    <t>Tartu, Estonia</t>
  </si>
  <si>
    <t>RTAFFBEZ</t>
  </si>
  <si>
    <t>Livatino, S.; Koffel, C.</t>
  </si>
  <si>
    <t>Handbook for Evaluation Studies in Virtual Reality</t>
  </si>
  <si>
    <t>2007 IEEE Symposium on Virtual Environments, Human-Computer Interfaces and Measurement Systems</t>
  </si>
  <si>
    <t>978-1-4244-0819-1 978-1-4244-0820-7</t>
  </si>
  <si>
    <t>10.1109/VECIMS.2007.4373918</t>
  </si>
  <si>
    <t>http://ieeexplore.ieee.org/document/4373918/</t>
  </si>
  <si>
    <t>2007-06</t>
  </si>
  <si>
    <t>Ostuni, Italy</t>
  </si>
  <si>
    <t>5THNYADL</t>
  </si>
  <si>
    <t>Moustakas, Konstantinos; Tzovaras, Dimitrios; Dybkjaer, Laila; Bernsen, Niels; Aran, Oya</t>
  </si>
  <si>
    <t>Using Modality Replacement to Facilitate Communication between Visually and Hearing-Impaired People</t>
  </si>
  <si>
    <t>IEEE Multimedia</t>
  </si>
  <si>
    <t>1070-986X</t>
  </si>
  <si>
    <t>10.1109/MMUL.2010.22</t>
  </si>
  <si>
    <t>http://ieeexplore.ieee.org/document/5432142/</t>
  </si>
  <si>
    <t>2011-02</t>
  </si>
  <si>
    <t>26-37</t>
  </si>
  <si>
    <t>accessible games; cross-modal transformation; haptics; multimedia; multimodal interfaces; sign language; usability evaluation; virtual reality</t>
  </si>
  <si>
    <t>5JERLJCG</t>
  </si>
  <si>
    <t>Manero, Borja; Alvarez, Ibis M.; Romero, Alejandro; Cardenas, Miriela M.</t>
  </si>
  <si>
    <t>Adopting an immersive virtual reality system to enhance Pre-service teachers’ communicative competence</t>
  </si>
  <si>
    <t>2022 International Conference on Advanced Learning Technologies (ICALT)</t>
  </si>
  <si>
    <t>978-1-6654-9519-6</t>
  </si>
  <si>
    <t>10.1109/ICALT55010.2022.00101</t>
  </si>
  <si>
    <t>https://ieeexplore.ieee.org/document/9853845/</t>
  </si>
  <si>
    <t>2022-07</t>
  </si>
  <si>
    <t>317-321</t>
  </si>
  <si>
    <t>Bucharest, Romania</t>
  </si>
  <si>
    <t>77R8JNVQ</t>
  </si>
  <si>
    <t>Oliveira, Eduardo; Simoes, Francisco P. M.; Correia, Walter Franklin</t>
  </si>
  <si>
    <t>Heuristics Evaluation and Improvements for Low-Cost Virtual Reality</t>
  </si>
  <si>
    <t>2017 19th Symposium on Virtual and Augmented Reality (SVR)</t>
  </si>
  <si>
    <t>978-1-5386-3588-9</t>
  </si>
  <si>
    <t>10.1109/SVR.2017.31</t>
  </si>
  <si>
    <t>http://ieeexplore.ieee.org/document/8114435/</t>
  </si>
  <si>
    <t>178-187</t>
  </si>
  <si>
    <t>Curitiba</t>
  </si>
  <si>
    <t>HQC8JH7V</t>
  </si>
  <si>
    <t>Qbilat, Malak; Netto, André; Paredes, Hugo; Mota, Telma; Carvalho, Fausto De; Mendonça, João; Nitti, Vito</t>
  </si>
  <si>
    <t>Usability Evaluation of an Application for Managing Older Adults Physical Activity Sessions in an Immersive Multiuser Virtual Environment</t>
  </si>
  <si>
    <t>2024 IEEE 12th International Conference on Serious Games and Applications for Health (SeGAH)</t>
  </si>
  <si>
    <t>979-8-3503-8438-3</t>
  </si>
  <si>
    <t>10.1109/SeGAH61285.2024.10639595</t>
  </si>
  <si>
    <t>https://ieeexplore.ieee.org/document/10639595/</t>
  </si>
  <si>
    <t>Funchal, Portugal</t>
  </si>
  <si>
    <t>RQXE7ZLN</t>
  </si>
  <si>
    <t>Kirayeva, Rufina R.; Khafizov, Murad R.; Turdiev, Temur T.; Kugurakova, Vlada V.</t>
  </si>
  <si>
    <t>Automated Testing of Functional Requirements for Virtual Reality Applications</t>
  </si>
  <si>
    <t>2023 IEEE XVI International Scientific and Technical Conference Actual Problems of Electronic Instrument Engineering (APEIE)</t>
  </si>
  <si>
    <t>979-8-3503-3088-5</t>
  </si>
  <si>
    <t>10.1109/APEIE59731.2023.10347611</t>
  </si>
  <si>
    <t>https://ieeexplore.ieee.org/document/10347611/</t>
  </si>
  <si>
    <t>1760-1764</t>
  </si>
  <si>
    <t>Novosibirsk, Russian Federation</t>
  </si>
  <si>
    <t>testing; virtual reality; Virtual reality; VR; Real-world; Application programs; Software testing; Innovative approaches; Usability testing; Automated testing; Functional requirement; functional requirements; functional testing; Functional testing; Knobs; Mammals; Performance requirements; Software industry; Test-coverage; Virtual reality input devices</t>
  </si>
  <si>
    <t>J8B5RSPQ</t>
  </si>
  <si>
    <t>Rifdi, Nur Irdina Ahmad; Sunar, Mohd Shahrizal; Sa'Adon, Muhammad Noor Iman</t>
  </si>
  <si>
    <t>Gamifying Shooting Training in Cave Automatic Virtual Environment (CAVE)</t>
  </si>
  <si>
    <t>2022 2nd International Conference on Intelligent Cybernetics Technology &amp; Applications (ICICyTA)</t>
  </si>
  <si>
    <t>979-8-3503-9913-4</t>
  </si>
  <si>
    <t>10.1109/ICICyTA57421.2022.10037856</t>
  </si>
  <si>
    <t>https://ieeexplore.ieee.org/document/10037856/</t>
  </si>
  <si>
    <t>198-203</t>
  </si>
  <si>
    <t>virtual reality; Performance; Virtual reality; Augmented reality; User interfaces; Users' experiences; Immersive technologies; E-learning; Acceptance tests; Virtual worlds; Human computer interaction; virtual environment; cave automatic virtual environment; Cave automatic virtual environments; Caves; immersive technology; shooting game; Shooting game; Shooting trainings; Sports; Three dimensional space; Users' acceptance; Video-games</t>
  </si>
  <si>
    <t>X7CUBC7I</t>
  </si>
  <si>
    <t>Omar, Yuhanis Binti; Darusman, Abu Hassan Bin</t>
  </si>
  <si>
    <t>A Conceptual Framework for Designing Mobile Augmented Reality Self-Directed Learning Practical Module on Direct-On-Line Motor Control</t>
  </si>
  <si>
    <t>10.1109/ICIDM51048.2020.9339630</t>
  </si>
  <si>
    <t>https://ieeexplore.ieee.org/document/9339630/</t>
  </si>
  <si>
    <t>augmented reality; Augmented reality; user experience; E-learning; Digital storage; User experience; Software testing; Teaching and learning; Industrial automation; Human computer interaction; 3-phase induction motor; Conceptual frameworks; DOL motor control; Educational institutions; Ignition; Induction motors; mobile application; Mobile augmented reality; self-directed learning; Self-directed learning; User experience design</t>
  </si>
  <si>
    <t>W69TTFAT</t>
  </si>
  <si>
    <t>Mathis, Florian; Vaniea, Kami; Khamis, Mohamed</t>
  </si>
  <si>
    <t>Can I Borrow Your ATM? Using Virtual Reality for (Simulated) In Situ Authentication Research</t>
  </si>
  <si>
    <t>10.1109/VR51125.2022.00049</t>
  </si>
  <si>
    <t>https://ieeexplore.ieee.org/document/9756785/</t>
  </si>
  <si>
    <t>301-310</t>
  </si>
  <si>
    <t>Can I Borrow Your ATM?</t>
  </si>
  <si>
    <t>/Users/dennis/Zotero/storage/IB8GIR27/Mathis et al. - 2022 - Can I Borrow Your ATM Using Virtual Reality for (Simulated) In Situ Authentication Research.pdf</t>
  </si>
  <si>
    <t>Virtual Reality; Virtual reality; System usability; Real-world; Authentication; Authentication systems; Automated teller machines; In situ research; In Situ Research; In-Situ Study; Laboratories; Legal constraint; Machine authentication; Situ evaluation; Usage context</t>
  </si>
  <si>
    <t>SDEI53FF</t>
  </si>
  <si>
    <t>Tamura, Shun; Buayai, Prawit; Chang, Won-Du; Mao, Xiaoyang</t>
  </si>
  <si>
    <t>AR Grape Thinning Support</t>
  </si>
  <si>
    <t>2024 International Conference on Cyberworlds (CW)</t>
  </si>
  <si>
    <t>979-8-3315-2717-4</t>
  </si>
  <si>
    <t>10.1109/CW64301.2024.00043</t>
  </si>
  <si>
    <t>https://ieeexplore.ieee.org/document/10917501/</t>
  </si>
  <si>
    <t>308-314</t>
  </si>
  <si>
    <t>Kofu, Japan</t>
  </si>
  <si>
    <t>Helmet mounted displays; Optical see-through head-mounted displays; Users' experiences; deep neural networks; Deep neural networks; AR (augmented reality) decision support; Augmented reality decision support; Decision supports; Fruits; Grape berry; Neural-networks; smart agriculture; Smart agricultures; Support systems; System use; Thinnings</t>
  </si>
  <si>
    <t>Proceedings - 2024 International Conference on Cyberworlds, CW 2024</t>
  </si>
  <si>
    <t>SWDUF65P</t>
  </si>
  <si>
    <t>Strada, Francesco; Bottino, Andrea; Lamberti, Fabrizio; Mormando, Giulia; Ingrassia, Pier Luigi</t>
  </si>
  <si>
    <t>Holo-BLSD – A Holographic Tool for Self-training and Self-Evaluation of Emergency Response Skills</t>
  </si>
  <si>
    <t>IEEE Transactions on Emerging Topics in Computing</t>
  </si>
  <si>
    <t>2168-6750, 2376-4562</t>
  </si>
  <si>
    <t>10.1109/TETC.2019.2925777</t>
  </si>
  <si>
    <t>https://ieeexplore.ieee.org/document/8750805/</t>
  </si>
  <si>
    <t>1581-1595</t>
  </si>
  <si>
    <t>IEEE Trans. Emerg. Topics Comput.</t>
  </si>
  <si>
    <t>Augmented Reality; Augmented reality; Basic life supports; Resuscitation; Learning systems; Automatic assessment; Evaluation of users; Basic Life Support and Defibrillation (BLSD); Emergency response; Emergency scenario; Emergency services; Interactive virtual environments; Science technologies; self-evaluation; self-learning; Statistical significance; user study</t>
  </si>
  <si>
    <t>GV5LNZJF</t>
  </si>
  <si>
    <t>Workflow for Evaluating Vehicle Interiors Using Serious Gaming</t>
  </si>
  <si>
    <t>2024 IEEE Gaming, Entertainment, and Media Conference (GEM)</t>
  </si>
  <si>
    <t>979-8-3503-7453-7</t>
  </si>
  <si>
    <t>10.1109/GEM61861.2024.10585510</t>
  </si>
  <si>
    <t>https://ieeexplore.ieee.org/document/10585510/</t>
  </si>
  <si>
    <t>Turin, Italy</t>
  </si>
  <si>
    <t>3D modeling; 3D models; 3d-modeling; Analyse; analysis; Blende; Blender; Blending; blueprints; Blueprints; map building; Map Building; Petroleum reservoir evaluation; Serious games; Serious gaming; simulation; Simulation; Three dimensional computer graphics; Unreal engine; Unreal Engine; User interfaces; vehicle interior; Vehicle interior; Vehicles; Virtual reality; Virtual Reality; Work-flows</t>
  </si>
  <si>
    <t>3CM2CZXQ</t>
  </si>
  <si>
    <t>Wang, Meng; Qi, Manli; Yang, Ting; Xia, Fan</t>
  </si>
  <si>
    <t>Intelligent Equipment Application Research and Analysis Based on AR Interactive Mode</t>
  </si>
  <si>
    <t>2024 4th International Conference on Artificial Intelligence, Virtual Reality and Visualization</t>
  </si>
  <si>
    <t>979-8-3315-2874-4</t>
  </si>
  <si>
    <t>10.1109/AIVRV63595.2024.10859991</t>
  </si>
  <si>
    <t>https://ieeexplore.ieee.org/document/10859991/</t>
  </si>
  <si>
    <t>196-200</t>
  </si>
  <si>
    <t>Augmented reality; Augmented reality technology; Application analysis; Application research; AR interactive mode; Augmented reality interactive mode; Automated productions; Digital technologies; Digital technology; Intelligent equipment; Interactive mode; Interactive system; Research and analysis; Smart devices; Smart manufacturing</t>
  </si>
  <si>
    <t>2024 4th International Conference on Artificial Intelligence, Virtual Reality and Visualization (AIVRV)</t>
  </si>
  <si>
    <t>DGVPTMUP</t>
  </si>
  <si>
    <t>Laouénan, Gaspard; Didier, Jean-Yves; Dossou, Paul-Eric</t>
  </si>
  <si>
    <t>Performance and ergonomics of automated versus manual validation for AR-supervised industrial operations</t>
  </si>
  <si>
    <t>2025 IEEE Conference Virtual Reality and 3D User Interfaces (VR)</t>
  </si>
  <si>
    <t>979-8-3315-3645-9</t>
  </si>
  <si>
    <t>10.1109/VR59515.2025.00038</t>
  </si>
  <si>
    <t>https://ieeexplore.ieee.org/document/10937408/</t>
  </si>
  <si>
    <t>135-145</t>
  </si>
  <si>
    <t>Usability engineering; Performance; Usability; Augmented reality; Industrial operations; Ergonomics; Office automation; Acceptance; Assembly; Hololens 2; HoloLens 2; Industrial context; Industry 5.0; Maintenance; Maintenance procedures; Viable solutions; WebXR</t>
  </si>
  <si>
    <t>5LF367YK</t>
  </si>
  <si>
    <t>Aldea, Anna; Tinga, Angelica M.; Van Zeumeren, Ilse M.; Van Nes, Nicole; Aschenbrenner, Doris</t>
  </si>
  <si>
    <t>Virtual Reality Tool for Human-Machine Interface Evaluation and Development (VRHEAD)</t>
  </si>
  <si>
    <t>2022 IEEE Intelligent Vehicles Symposium (IV)</t>
  </si>
  <si>
    <t>978-1-6654-8821-1</t>
  </si>
  <si>
    <t>10.1109/IV51971.2022.9827375</t>
  </si>
  <si>
    <t>https://ieeexplore.ieee.org/document/9827375/</t>
  </si>
  <si>
    <t>151-158</t>
  </si>
  <si>
    <t>Aachen, Germany</t>
  </si>
  <si>
    <t>/Users/dennis/Zotero/storage/4AIENRKJ/Aldea et al. - 2022 - Virtual Reality Tool for Human-Machine Interface Evaluation and Development (VRHEAD).pdf</t>
  </si>
  <si>
    <t>automated driving; Automated driving; Automation; design evaluation; Design evaluation; design for experiments; Design for experiments; Design-process; HMI; Human Centered Design; Human machine interaction; Human Machine Interface; Human-centred designs; human-machine interaction; Iterative design; iterative design process; Iterative design process; Man machine systems; mode awareness; Mode awareness; rapid prototyping; Rapid-prototyping; Vehicles; Virtual prototyping; virtual reality; Virtual reality</t>
  </si>
  <si>
    <t>SQUSKTT6</t>
  </si>
  <si>
    <t>Duan, Lin; Xiu, Yanming; Gorlatova, Maria</t>
  </si>
  <si>
    <t>Advancing the Understanding and Evaluation of AR-Generated Scenes: When Vision-Language Models Shine and Stumble</t>
  </si>
  <si>
    <t>10.1109/VRW66409.2025.00039</t>
  </si>
  <si>
    <t>https://ieeexplore.ieee.org/document/10972437/</t>
  </si>
  <si>
    <t>156-161</t>
  </si>
  <si>
    <t>Advancing the Understanding and Evaluation of AR-Generated Scenes</t>
  </si>
  <si>
    <t>GK6ZHM97</t>
  </si>
  <si>
    <t>Yu-Che, Huang; Ping-Hsien, Huang</t>
  </si>
  <si>
    <t>A study on the application of visualization technology in virtual product design</t>
  </si>
  <si>
    <t>2023 9th International Conference on Computer and Communications (ICCC)</t>
  </si>
  <si>
    <t>979-8-3503-1725-1</t>
  </si>
  <si>
    <t>10.1109/ICCC59590.2023.10507533</t>
  </si>
  <si>
    <t>https://ieeexplore.ieee.org/document/10507533/</t>
  </si>
  <si>
    <t>2483-2487</t>
  </si>
  <si>
    <t>Chengdu, China</t>
  </si>
  <si>
    <t>Virtual reality; User interfaces; Human computer interaction; Product design; Applications of visualization; Cost reduction; Design team; Different digital imaging; Different Digital imaging; Digital imaging; Digital-imaging technology; intelligent logic calculation; Intelligent logic calculation; Logic calculation; realistic digital imaging technology; Realistic digital imaging technology; Virtual product designs; Visualization technologies</t>
  </si>
  <si>
    <t>SPDRWSMT</t>
  </si>
  <si>
    <t>Grigera, Julian; Garrido, Alejandra; Rossi, Gustavo</t>
  </si>
  <si>
    <t>Kobold: Web usability as a service</t>
  </si>
  <si>
    <t>2017 32nd IEEE/ACM International Conference on Automated Software Engineering (ASE)</t>
  </si>
  <si>
    <t>978-1-5386-2684-9</t>
  </si>
  <si>
    <t>10.1109/ASE.2017.8115717</t>
  </si>
  <si>
    <t>http://ieeexplore.ieee.org/document/8115717/</t>
  </si>
  <si>
    <t>990-995</t>
  </si>
  <si>
    <t>Kobold</t>
  </si>
  <si>
    <t>Urbana, IL</t>
  </si>
  <si>
    <t>/Users/dennis/Zotero/storage/SDATLQB3/Grigera et al. - 2017 - Kobold Web usability as a service.pdf</t>
  </si>
  <si>
    <t>Usability problems; Usability engineering; Usability evaluation; Usability testing; User interaction; HTTP; Software engineering; Websites; Social interactions; Concrete testing; Concretes; Information exchanges; Refactorings; Software as a Service; Software as a service (SaaS); Usability Refactoring; Web Design; Web usability; Web Usability</t>
  </si>
  <si>
    <t>PDNSQW3L</t>
  </si>
  <si>
    <t>Yuan, Zhengwu; Inoue, Shoichiro; Hoshino, Junichi</t>
  </si>
  <si>
    <t>Remote Customer Service Support System With Automatic Response AI And Human Switching</t>
  </si>
  <si>
    <t>2023 Nicograph International (NicoInt)</t>
  </si>
  <si>
    <t>979-8-3503-3947-5</t>
  </si>
  <si>
    <t>10.1109/NICOINT59725.2023.00028</t>
  </si>
  <si>
    <t>https://ieeexplore.ieee.org/document/10196765/</t>
  </si>
  <si>
    <t>2023-06</t>
  </si>
  <si>
    <t>88-88</t>
  </si>
  <si>
    <t>Sapporo, Japan</t>
  </si>
  <si>
    <t>Virtual reality; VR; User interfaces; Petroleum reservoir evaluation; Actual operation; AI; Automatic response; Chatbots; Complex questions; Customer service systems; Customer-service; Dialogue systems; Remote Service; Remote services; Sales; Service support systems; Speech processing</t>
  </si>
  <si>
    <t>Proceedings - 2023 Nicograph International, NICOINT 2023</t>
  </si>
  <si>
    <t>B2DX2U2Y</t>
  </si>
  <si>
    <t>Valladares-Poncela, Antón; Fraga-Lamas, Paula; Fernández-Caramés, Tiago M.</t>
  </si>
  <si>
    <t>Breaking Barriers for Minority Languages: Development and Evaluation of the First Galician On-Device ASR Model for Metaverse Applications</t>
  </si>
  <si>
    <t>2024 IEEE 3rd International Conference on Intelligent Reality (ICIR)</t>
  </si>
  <si>
    <t>979-8-3315-3442-4</t>
  </si>
  <si>
    <t>10.1109/ICIR64558.2024.10976752</t>
  </si>
  <si>
    <t>https://ieeexplore.ieee.org/document/10976752/</t>
  </si>
  <si>
    <t>Breaking Barriers for Minority Languages</t>
  </si>
  <si>
    <t>AH2WPK64</t>
  </si>
  <si>
    <t>Liu, Danqiong; Zhou, Shengke; Sun, Qian</t>
  </si>
  <si>
    <t>Application of Visual Communication in the Three-Dimensional Image Design of Interior Architecture</t>
  </si>
  <si>
    <t>2025 International Conference on Intelligent Systems and Computational Networks (ICISCN)</t>
  </si>
  <si>
    <t>979-8-3315-2924-6</t>
  </si>
  <si>
    <t>10.1109/ICISCN64258.2025.10934657</t>
  </si>
  <si>
    <t>https://ieeexplore.ieee.org/document/10934657/</t>
  </si>
  <si>
    <t>Bidar, India</t>
  </si>
  <si>
    <t>Architectural design; Interiors (building); 3-D image; 3d image design; 3D-images; automated modeling; Automated modelling; interior architecture; Interior architecture; location-based services; Location-based services; Model efficiency; Photointerpretation; Three dimensional images; Visual communication; visual communication design; Visual communication designs; visual recognition; Visual recognition</t>
  </si>
  <si>
    <t>NBTLGSFD</t>
  </si>
  <si>
    <t>Mirhosseini, Seyedkoosha; Gutenko, Ievgeniia; Ojal, Sushant; Marino, Joseph; Kaufman, Arie E.</t>
  </si>
  <si>
    <t>Automatic speed and direction control along constrained navigation paths</t>
  </si>
  <si>
    <t>2017 IEEE Virtual Reality (VR)</t>
  </si>
  <si>
    <t>978-1-5090-6647-6</t>
  </si>
  <si>
    <t>10.1109/VR.2017.7892228</t>
  </si>
  <si>
    <t>http://ieeexplore.ieee.org/document/7892228/</t>
  </si>
  <si>
    <t>29-36</t>
  </si>
  <si>
    <t>Usability; Virtual reality; Helmet mounted displays; Three dimensional computer graphics; Visualization; User study; Cameras; Navigation; User studies; Flow visualization; HMD; 3D navigation; Speed; Cybersickness; Endoscopy; Immersion; Medical applications; Medicine; Surface discharges; Tracking</t>
  </si>
  <si>
    <t>EB673M76</t>
  </si>
  <si>
    <t>Jego, Liza; Barriga, Nicolas; Besoain, Felipe</t>
  </si>
  <si>
    <t>A Virtual Reality System for Fruit Processing Line Personnel Training: A Usability Study</t>
  </si>
  <si>
    <t>2022 IEEE International Conference on Automation/XXV Congress of the Chilean Association of Automatic Control (ICA-ACCA)</t>
  </si>
  <si>
    <t>978-1-6654-9408-3</t>
  </si>
  <si>
    <t>10.1109/ICA-ACCA56767.2022.10006165</t>
  </si>
  <si>
    <t>https://ieeexplore.ieee.org/document/10006165/</t>
  </si>
  <si>
    <t>A Virtual Reality System for Fruit Processing Line Personnel Training</t>
  </si>
  <si>
    <t>Curicó, Chile</t>
  </si>
  <si>
    <t>virtual reality; Usability studies; Virtual reality system; Usability; Virtual reality; Personnel training; E-learning; Fruits; Fully automated; Automated processing; Cost structure; Fruit processing; Industrial plants; Processing facilities; Processing lines; virtual environments; VR for training</t>
  </si>
  <si>
    <t>SEGRTYY4</t>
  </si>
  <si>
    <t>Waldow, Kristoffer; Fuhrmann, Arnulph; Roth, Daniel</t>
  </si>
  <si>
    <t>Deep Neural Labeling: Hybrid Hand Pose Estimation Using Unlabeled Motion Capture Data With Color Gloves in Context of German Sign Language</t>
  </si>
  <si>
    <t>2024 IEEE International Conference on Artificial Intelligence and eXtended and Virtual Reality (AIxVR)</t>
  </si>
  <si>
    <t>979-8-3503-7202-1</t>
  </si>
  <si>
    <t>10.1109/AIxVR59861.2024.00009</t>
  </si>
  <si>
    <t>https://ieeexplore.ieee.org/document/10445598/</t>
  </si>
  <si>
    <t>Deep Neural Labeling</t>
  </si>
  <si>
    <t>Virtual Reality; Virtual reality; Deep learning; 'current; Accessibility; Audition; Digital storage; Hand Pose Estimation; Hand pose estimations; Human movements; Immersive environment; In contexts; Labelings; Learning algorithms; Motion capture; Optical communication; Optical motion capture; Optical Motion Capture; Optimization; Sign language; Sign Language</t>
  </si>
  <si>
    <t>ARTZGTZC</t>
  </si>
  <si>
    <t>Shauakt, Muneeb; Callaghan, Vic</t>
  </si>
  <si>
    <t>Exploring the Use of Mixed-Reality for the Design and Innovation of Future Ubiquitous Devices and Intelligent Environments</t>
  </si>
  <si>
    <t>2010 Sixth International Conference on Intelligent Environments</t>
  </si>
  <si>
    <t>978-1-4244-7836-1</t>
  </si>
  <si>
    <t>10.1109/IE.2010.74</t>
  </si>
  <si>
    <t>http://ieeexplore.ieee.org/document/5673742/</t>
  </si>
  <si>
    <t>2010-07</t>
  </si>
  <si>
    <t>364-366</t>
  </si>
  <si>
    <t>Virtual reality; Mixed reality; Design; Industry; Human engineering; Mixed-reality environment; User-centric; Design evaluation; Virtual prototyping; Virtual Prototyping; Social interactions; Intelligent agents; Collaborative research; Component; Design innovations; Different domains; Digital life; End users; Experience feedback; Geographical locations; Human factor; Innovative product; Intelligent environment; Research; Research directions; Technological infrastructure; Ubiquitous devices; Virtual prototype; Work-in-progress; component; Design Evaluation; Human Factor</t>
  </si>
  <si>
    <t>2010 6th International Conference on Intelligent Environments (IE)</t>
  </si>
  <si>
    <t>APSGQCRA</t>
  </si>
  <si>
    <t>Zingsheim, Domenic; Stotko, Patrick; Krumpen, Stefan; Weinmann, Michael; Klein, Reinhard</t>
  </si>
  <si>
    <t>Collaborative VR-Based 3D Labeling of Live-Captured Scenes by Remote Users</t>
  </si>
  <si>
    <t>IEEE Computer Graphics and Applications</t>
  </si>
  <si>
    <t>0272-1716, 1558-1756</t>
  </si>
  <si>
    <t>10.1109/MCG.2021.3082267</t>
  </si>
  <si>
    <t>https://ieeexplore.ieee.org/document/9437800/</t>
  </si>
  <si>
    <t>90-98</t>
  </si>
  <si>
    <t>IEEE Comput. Grap. Appl.</t>
  </si>
  <si>
    <t>human; Virtual reality; 3D modeling; Data visualization; Three dimensional computer graphics; article; User experience; Image reconstruction; Petroleum reservoir evaluation; Multiple user; 3D labeling; Client request; Data streaming; Label predictions; Label propagation; prediction; Reconstruction speed; Remote users; velocity</t>
  </si>
  <si>
    <t>N8DZQRZU</t>
  </si>
  <si>
    <t>Liu, Zhe; Chen, Chunyang; Wang, Junjie; Huang, Yuekai; Hu, Jun; Wang, Qing</t>
  </si>
  <si>
    <t>Nighthawk: Fully Automated Localizing UI Display Issues via Visual Understanding</t>
  </si>
  <si>
    <t>IEEE Transactions on Software Engineering</t>
  </si>
  <si>
    <t>0098-5589, 1939-3520, 2326-3881</t>
  </si>
  <si>
    <t>10.1109/TSE.2022.3150876</t>
  </si>
  <si>
    <t>https://ieeexplore.ieee.org/document/9712410/</t>
  </si>
  <si>
    <t>403-418</t>
  </si>
  <si>
    <t>IIEEE Trans. Software Eng.</t>
  </si>
  <si>
    <t>Nighthawk</t>
  </si>
  <si>
    <t>/Users/dennis/Zotero/storage/TKZ8M7JK/Liu et al. - 2023 - Nighthawk Fully Automated Localizing UI Display Issues via Visual Understanding.pdf</t>
  </si>
  <si>
    <t>Screenshots; deep learning; Deep learning; Application programs; Software; End-users; Graphical user interfaces; Computer bugs; Display devices; Fully automated; Heuristic methods; Interface complexity; Location awareness; mobile app; object detection; Program debugging; Software applications; Training data; UI display; UI testing; Visual effects</t>
  </si>
  <si>
    <t>3KXUCCCG</t>
  </si>
  <si>
    <t>Dai, Xiaokun; Zhang, Xinkang; Li, Shiman; Chen, Xinrong</t>
  </si>
  <si>
    <t>Enhancing Motion Reconstruction From Sparse Tracking Inputs With Kinematic Constraints</t>
  </si>
  <si>
    <t>1545-5955, 1558-3783</t>
  </si>
  <si>
    <t>10.1109/TASE.2024.3415151</t>
  </si>
  <si>
    <t>https://ieeexplore.ieee.org/document/10570467/</t>
  </si>
  <si>
    <t>5029-5037</t>
  </si>
  <si>
    <t>IEEE Trans. Automat. Sci. Eng.</t>
  </si>
  <si>
    <t>Virtual reality; Helmet mounted displays; Three dimensional computer graphics; Visualization; Floors; Statistical tests; Accuracy; Decoding; Errors; Feedback; human kinematic prior; Human kinematic prior; Human kinematics; Image reconstruction; Images reconstruction; Kinematics; multi-scale signal processing; Multi-scale signal processing; Multi-scales; pose reconstruction; Pose reconstruction; Predictive models; Signal-processing; Solid modelling; Task analysis; Time domain analysis</t>
  </si>
  <si>
    <t>MSCC2SA2</t>
  </si>
  <si>
    <t>Moglia, Andrea; Marsilio, Luca; Rossi, Matteo; Pinelli, Maria; Lettieri, Emanuele; Mainardi, Luca; Manzotti, Alfonso; Cerveri, Pietro</t>
  </si>
  <si>
    <t>Mixed Reality and Artificial Intelligence: A Holistic Approach to Multimodal Visualization and Extended Interaction in Knee Osteotomy</t>
  </si>
  <si>
    <t>IEEE Journal of Translational Engineering in Health and Medicine</t>
  </si>
  <si>
    <t>2168-2372</t>
  </si>
  <si>
    <t>10.1109/JTEHM.2023.3335608</t>
  </si>
  <si>
    <t>https://ieeexplore.ieee.org/document/10325506/</t>
  </si>
  <si>
    <t>IEEE J. Transl. Eng. Health Med.</t>
  </si>
  <si>
    <t>Mixed Reality and Artificial Intelligence</t>
  </si>
  <si>
    <t>https://creativecommons.org/licenses/by-nc-nd/4.0/</t>
  </si>
  <si>
    <t>/Users/dennis/Zotero/storage/YJV2DXFV/Moglia et al. - 2024 - Mixed Reality and Artificial Intelligence A Holistic Approach to Multimodal Visualization and Exten.pdf</t>
  </si>
  <si>
    <t>usability; virtual reality; Augmented Reality; Humans; Article; automation; controlled study; human; adult; augmented reality; Augmented reality; female; male; Data visualization; Visualization; article; clinical article; Air navigation; artificial intelligence; Artificial Intelligence; biomedical technology assessment; blood oxygen tension; clinical practice; Computed tomography; Computerized tomography; data visualization; deep neural network; deep neural networks; Deep neural networks; demographics; edge detection; Extended reality; holistic care; holography; image segmentation; Image segmentation; Images segmentations; knee; Knee Joint; knee osteoarthritis; Knee osteotomies; Low limb osteotomy; lower limb; Lower limb; Lower limb osteotomy; medical student; Mixed reality; navigation system; Navigation systems; Orthopedics; osteotomy; Osteotomy; patient selection; Pre-operative planning; preoperative evaluation; questionnaire; Surgery; Surgery, Computer-Assisted; surgical planning; Surgical planning; surgical training; tibia osteotomy; total knee arthroplasty; x-ray computed tomography</t>
  </si>
  <si>
    <t>URJMAMZA</t>
  </si>
  <si>
    <t>Roberto, Rafael Alves; Freitas, Daniel Queiroz De; Simoes, Francisco Paulo Magalhaes; Teichrieb, Veronica</t>
  </si>
  <si>
    <t>A Dynamic Blocks Platform Based on Projective Augmented Reality and Tangible Interfaces for Educational Activities</t>
  </si>
  <si>
    <t>2013 XV Symposium on Virtual and Augmented Reality</t>
  </si>
  <si>
    <t>978-0-7695-5001-5</t>
  </si>
  <si>
    <t>10.1109/SVR.2013.11</t>
  </si>
  <si>
    <t>http://ieeexplore.ieee.org/document/6655756/</t>
  </si>
  <si>
    <t>2013-05</t>
  </si>
  <si>
    <t>Cuiabá - Mato Grosso, Brazil</t>
  </si>
  <si>
    <t>Augmented Reality; Augmented reality; Education; Teaching; User interfaces; Calibration; Early childhoods; Educational activities; Educational evaluation; Multiple hypothesis; Projector calibration; Real-time frame rates; Tangible interfaces; Tangible User Interface Design for Children; Tangible user interfaces; Tools</t>
  </si>
  <si>
    <t>2013 XV Symposium on Virtual and Augmented Reality (SVR)</t>
  </si>
  <si>
    <t>8DLG82KV</t>
  </si>
  <si>
    <t>Damasceno, Eduardo Filgueiras; Fernandes, Larissa; Silva, Armando Paulo Da; Días, José Barbosa</t>
  </si>
  <si>
    <t>A Systematic Mapping Study on Low-Cost Immersive Virtual Reality for Microbiology</t>
  </si>
  <si>
    <t>IEEE Revista Iberoamericana de Tecnologias del Aprendizaje</t>
  </si>
  <si>
    <t>1932-8540, 2374-0132</t>
  </si>
  <si>
    <t>10.1109/RITA.2023.3250551</t>
  </si>
  <si>
    <t>https://ieeexplore.ieee.org/document/10056280/</t>
  </si>
  <si>
    <t>2023-02</t>
  </si>
  <si>
    <t>62-69</t>
  </si>
  <si>
    <t>IEEE R. Iberoamericana Tecnologias Aprendizaje</t>
  </si>
  <si>
    <t>Low-costs; Virtual reality; Virtual addresses; Data visualization; Visualization; Immersive virtual reality; E-learning; Software; Solid modelling; Engineering education; Costs; Digital libraries; Learning contents; Learning objects; Learning process; Mapping; microbiology; Microbiology; Systematic mapping studies; Systematic Review; systematic reviews; teaching; Teaching experience; Virtual environment</t>
  </si>
  <si>
    <t>ZMJ7L737</t>
  </si>
  <si>
    <t>Singh, Ajay; Joshi, Kapil; Shuaib, Mohammed; Bharany, Salil; Alam, Shadab; Ahmad, Sadaf</t>
  </si>
  <si>
    <t>Navigation and Speed Regulation Aimed at Travel through Immersive Virtual Environments: A Review</t>
  </si>
  <si>
    <t>2022 IEEE International Conference on Current Development in Engineering and Technology (CCET)</t>
  </si>
  <si>
    <t>978-1-6654-5415-5</t>
  </si>
  <si>
    <t>10.1109/CCET56606.2022.10080751</t>
  </si>
  <si>
    <t>https://ieeexplore.ieee.org/document/10080751/</t>
  </si>
  <si>
    <t>Navigation and Speed Regulation Aimed at Travel through Immersive Virtual Environments</t>
  </si>
  <si>
    <t>Bhopal, India</t>
  </si>
  <si>
    <t>https://doi.org/10.15223/policy-009</t>
  </si>
  <si>
    <t>/Users/dennis/Zotero/storage/64965PG4/Singh et al. - 2022 - Navigation and Speed Regulation Aimed at Travel through Immersive Virtual Environments A Review.pdf</t>
  </si>
  <si>
    <t>Augmented Reality; Virtual Reality; Virtual reality; Augmented reality; Computer Graphics; Human computer interaction; Human-Computer Interaction; Comparative research; Evaluation study; Immersive virtual environments; Intellectual works; Movement speed; Multimedia information; Navigation; Navigation techniques; New age; Objective evaluation; Speed regulation</t>
  </si>
  <si>
    <t>64LUPJNU</t>
  </si>
  <si>
    <t>Fonseca, David; Martí, Nuria; Navarro, Isidro; Redondo, Ernest; Sánchez, Albert</t>
  </si>
  <si>
    <t>Using augmented reality and education platform in architectural visualization: Evaluation of usability and student's level of sastisfaction</t>
  </si>
  <si>
    <t>2012 International Symposium on Computers in Education (SIIE)</t>
  </si>
  <si>
    <t>https://ieeexplore.ieee.org/document/6403157/</t>
  </si>
  <si>
    <t>In this paper we analyze the results of the implementation of new technologies in the framework of education related to the visualization of architectural projects. On the basis of the evaluation of the technological profile of students, we propose the use of various augmented reality systems for viewing different projects in the degree of Architecture with mobile devices. The main objective is to assess whether the proposed methodology improves the student learning process and thus generates a satisfactory response.</t>
  </si>
  <si>
    <t>2012-10</t>
  </si>
  <si>
    <t>Using augmented reality and education platform in architectural visualization</t>
  </si>
  <si>
    <t>IEEE Xplore</t>
  </si>
  <si>
    <t>/Users/dennis/Zotero/storage/MYARLHYZ/Fonseca et al. - 2012 - Using augmented reality and education platform in architectural visualization Evaluation of usabili.pdf</t>
  </si>
  <si>
    <t>Augmented Reality; Usability; Augmented reality; Visualization; Education; Educational institutions; User Studies; Architecture; Display; Mobile handsets; Solid modeling</t>
  </si>
  <si>
    <t>Screening</t>
  </si>
  <si>
    <t xml:space="preserve">distance, time &amp; collisions </t>
  </si>
  <si>
    <t>literature review</t>
  </si>
  <si>
    <t>questionnaires + audio/video</t>
  </si>
  <si>
    <t>multimodal ux NN</t>
  </si>
  <si>
    <t>eye tracking</t>
  </si>
  <si>
    <t>irrelevant</t>
  </si>
  <si>
    <t>physiological factors</t>
  </si>
  <si>
    <t>Evaluating the Effectiveness of an Augmented Reality Platform in Promoting Sustainable Tourism in the Peruvian Amazon Jungle</t>
  </si>
  <si>
    <t>average movement speed</t>
  </si>
  <si>
    <t>face tracking</t>
  </si>
  <si>
    <t>AutoQUEST</t>
  </si>
  <si>
    <t>objective features</t>
  </si>
  <si>
    <t>KPIs</t>
  </si>
  <si>
    <t>Movement</t>
  </si>
  <si>
    <t>agent based</t>
  </si>
  <si>
    <t>transcription</t>
  </si>
  <si>
    <t>error model</t>
  </si>
  <si>
    <t>head rotation frequency</t>
  </si>
  <si>
    <t>sentiment</t>
  </si>
  <si>
    <t>Event-based</t>
  </si>
  <si>
    <t>test-case generation</t>
  </si>
  <si>
    <t>hand distance as effectiveness</t>
  </si>
  <si>
    <t>head movement</t>
  </si>
  <si>
    <t>Automated UX Evaluation for User-Centered Design of VR Interfaces</t>
  </si>
  <si>
    <t>Li, Hongyang; Fang, Shuying; Shi, Tingting; Wales, Ned; Skitmore, Martin</t>
  </si>
  <si>
    <t>Include</t>
  </si>
  <si>
    <t>Usability dimension</t>
  </si>
  <si>
    <t>Measurement</t>
  </si>
  <si>
    <t>Baseline</t>
  </si>
  <si>
    <t>Sample Size</t>
  </si>
  <si>
    <t>methodology</t>
  </si>
  <si>
    <t>XR Technology</t>
  </si>
  <si>
    <t>exclude</t>
  </si>
  <si>
    <t>no usability</t>
  </si>
  <si>
    <t>include</t>
  </si>
  <si>
    <t>time between decisions (steps) in the game</t>
  </si>
  <si>
    <t>heart beat</t>
  </si>
  <si>
    <t>HCT</t>
  </si>
  <si>
    <t>interoceptive accuracy</t>
  </si>
  <si>
    <t>SMS Mind Questionnaire</t>
  </si>
  <si>
    <t>VR</t>
  </si>
  <si>
    <t>heart rate</t>
  </si>
  <si>
    <t>time</t>
  </si>
  <si>
    <t>not mentioned, guessed effectiveness/efficiency</t>
  </si>
  <si>
    <t>8 out of 47</t>
  </si>
  <si>
    <t>AR</t>
  </si>
  <si>
    <t>physiological measures</t>
  </si>
  <si>
    <t>Cardiac activity, Thoracic respiration, Muscle tone</t>
  </si>
  <si>
    <t>flow through: cardiovascular function, respiration, and ZM electromyography</t>
  </si>
  <si>
    <t>Flow Short Scale</t>
  </si>
  <si>
    <t>flow</t>
  </si>
  <si>
    <t>Head Movement</t>
  </si>
  <si>
    <t>Navigation and viewpoint control interaction</t>
  </si>
  <si>
    <t>Interaction/ lernability</t>
  </si>
  <si>
    <t>exclude duplicate</t>
  </si>
  <si>
    <t>high frequency head rotation</t>
  </si>
  <si>
    <t>proxy for the degree of delight or annoyance</t>
  </si>
  <si>
    <t>paper based alternative</t>
  </si>
  <si>
    <t>high frequency head rotation in pitch yaw and roll directions</t>
  </si>
  <si>
    <t>Head Rotation</t>
  </si>
  <si>
    <t>-</t>
  </si>
  <si>
    <t>software agents</t>
  </si>
  <si>
    <t>XR</t>
  </si>
  <si>
    <t>EEG</t>
  </si>
  <si>
    <t>Engagement</t>
  </si>
  <si>
    <t>EEG, head movement</t>
  </si>
  <si>
    <t>EEG, head movement for correlation of viewpoint to EEG</t>
  </si>
  <si>
    <t>TV vs VR</t>
  </si>
  <si>
    <t>QoE</t>
  </si>
  <si>
    <t>micro facial expressions</t>
  </si>
  <si>
    <t>questionnaire, normal facial expression</t>
  </si>
  <si>
    <t>micro expressions</t>
  </si>
  <si>
    <t>Accuracy, Operation Speed, Error Proneness</t>
  </si>
  <si>
    <t>Heart Rate and Calculations</t>
  </si>
  <si>
    <t xml:space="preserve">Correlation of events to heart beat </t>
  </si>
  <si>
    <t>Heart Rate and Correlation To Grab, Touch Operate and move</t>
  </si>
  <si>
    <t>UX</t>
  </si>
  <si>
    <t>Heart Rate and Success Rate while capturing game events</t>
  </si>
  <si>
    <t xml:space="preserve">Heart Rate </t>
  </si>
  <si>
    <t>afffect and arousal</t>
  </si>
  <si>
    <t>Heart rate</t>
  </si>
  <si>
    <t>Task Trees genereted after VR usage</t>
  </si>
  <si>
    <t>Events (5 different), Sequences, Iterations</t>
  </si>
  <si>
    <t>5 Usability Smells</t>
  </si>
  <si>
    <t>Manual Inspection, Counter Evaluation, Compared 4 Interaction Modes</t>
  </si>
  <si>
    <t>recordings of user actions, a subsequent generation of task trees, and the detection of five usability smells with AutoQUEST</t>
  </si>
  <si>
    <t>VR events: pointer click, object grab and ungrab, head movement, and rotation.</t>
  </si>
  <si>
    <t>4 Smells: Important tasks, Required Inefficient actions, High interaction distance, Task retried</t>
  </si>
  <si>
    <t>Events</t>
  </si>
  <si>
    <t>x,y,z coordinates; communication through questions and met agents; collected  items as "interaction"</t>
  </si>
  <si>
    <t>3 log files than visualization</t>
  </si>
  <si>
    <t>PC</t>
  </si>
  <si>
    <t>controller pose, headset pose, model pose, total eye tracking movement, model control function usages e.g. translation rotation scale, video analysis for poses</t>
  </si>
  <si>
    <t>loggin unity, video anlysis</t>
  </si>
  <si>
    <t>Behavioral Strategies for System Usage, Engagement, Efficiacy, Accuracy, Redundancies, Usability</t>
  </si>
  <si>
    <t>SUS, Presence</t>
  </si>
  <si>
    <t>collective usability</t>
  </si>
  <si>
    <t>Agent-Based Model (ABM) simulation</t>
  </si>
  <si>
    <t>large scale MR room, full body XR</t>
  </si>
  <si>
    <t>time, distance, collisions, motion sickness, velocity and acceleration</t>
  </si>
  <si>
    <t>EEG in different frequency bands</t>
  </si>
  <si>
    <t>usability</t>
  </si>
  <si>
    <t>expert usability judging, high vs low</t>
  </si>
  <si>
    <t>Eye tracking, heart rate</t>
  </si>
  <si>
    <t>Eye tracking is used as a measurable proxy of operator attention within the virtual environment, and objective measure for ease-of-use, heart rate for stress level</t>
  </si>
  <si>
    <t>NASA-TLX</t>
  </si>
  <si>
    <t>Eye tracking through raycast from face, heart rate + correlation with NASA-TLX</t>
  </si>
  <si>
    <t>Visual Attention, Head Orientation</t>
  </si>
  <si>
    <t>Eye Tracking, Head Movement, als Measurement for attention and viewing distance between UI elements</t>
  </si>
  <si>
    <t>Physical PC</t>
  </si>
  <si>
    <t>Eye tracking, Head Orientation</t>
  </si>
  <si>
    <t>Electrodermal activity</t>
  </si>
  <si>
    <t>Electrodermal activity, Average Head Bias in Polar Angle with NPCs</t>
  </si>
  <si>
    <t>behavioral impact between the different emotional virtual humans crowd, visual attention during conversation</t>
  </si>
  <si>
    <t>Questionnaire comparison</t>
  </si>
  <si>
    <t>Empatica E4 wrist Sensor, Electrodermal activity(EDA) through normalized Skin Conductance Levels (SCL) data for periods of two minutes, HMD Orientation</t>
  </si>
  <si>
    <t>PC non immersive VR</t>
  </si>
  <si>
    <t>face tracking for emotion detection using EMOJ Tool</t>
  </si>
  <si>
    <t>6 emotions</t>
  </si>
  <si>
    <t>SUS</t>
  </si>
  <si>
    <t>Facial Emotions</t>
  </si>
  <si>
    <t>gaze focal point</t>
  </si>
  <si>
    <t>attention focus, distractions, non-intuitive UI, Presence, Comfort</t>
  </si>
  <si>
    <t>Gazetracking and analysis using Cognitive3D, eye tracking data heatmap</t>
  </si>
  <si>
    <t>calculating the gaze center</t>
  </si>
  <si>
    <t>smartphone AR</t>
  </si>
  <si>
    <t>Heart Rate Center of mass, center of preassure, ground reaction forces</t>
  </si>
  <si>
    <t>psychological stress</t>
  </si>
  <si>
    <t>EEG with a Muse 2 headband and Mind Monitor App</t>
  </si>
  <si>
    <t>Mental Rotation Test as baseline for spatial ability</t>
  </si>
  <si>
    <t>EEG theta (4-8Hz) and alpha (7.5-13Hz) bands</t>
  </si>
  <si>
    <t>attention and spatial ability and its cognitive load</t>
  </si>
  <si>
    <t>Eye Tracking and collection of areas of interest and EDA + Heart rate monitoring</t>
  </si>
  <si>
    <t>EDA, Heart Rate, Eye Tracking</t>
  </si>
  <si>
    <t>area of interest, realism, empathy and social presence</t>
  </si>
  <si>
    <t>Tobii T120 eye-tracking device and participants’ facial expressions</t>
  </si>
  <si>
    <t>Eye Tracking Heatmap</t>
  </si>
  <si>
    <t>area of interest and emotion</t>
  </si>
  <si>
    <t>areas of interest</t>
  </si>
  <si>
    <t>Eye Tracking, Skeleton Tracking</t>
  </si>
  <si>
    <t>2 in 13 Experiments</t>
  </si>
  <si>
    <t>EyeSee3D, Situation Modle Based Eye Tracking, Logging, Kinect, Scene Camera per frame, Annotating the gaze video</t>
  </si>
  <si>
    <t>human annotators</t>
  </si>
  <si>
    <t>AR not HMD</t>
  </si>
  <si>
    <t>only experts judging</t>
  </si>
  <si>
    <t>heart rate und walking speed</t>
  </si>
  <si>
    <t>PC only</t>
  </si>
  <si>
    <t>36, 86 human-agent interactions</t>
  </si>
  <si>
    <t>HMD, PC, CAVE</t>
  </si>
  <si>
    <t>level of sense of presence, level of sense of social presence</t>
  </si>
  <si>
    <t>multimodal ML Model to correlate verbal und non verbal clues to presence</t>
  </si>
  <si>
    <t>IPQ</t>
  </si>
  <si>
    <t>classification of attention levels through Visual Complexity levels (No, Low, High)</t>
  </si>
  <si>
    <t>EEG alpha and theta band, Eye Tracking Pupil Diameter</t>
  </si>
  <si>
    <t>EEG, Eye Tracking  to compare Visual Complexity levels (No, Low, High) with classification algorithms</t>
  </si>
  <si>
    <t>EEG, GSR</t>
  </si>
  <si>
    <t>navigational problems, presence, workload and flow</t>
  </si>
  <si>
    <t>EEG activity compared to navigational problems and GSR compared to presence, workload and flow and interpreted emotions from data</t>
  </si>
  <si>
    <t xml:space="preserve">e-commerce and e-learning websites </t>
  </si>
  <si>
    <t>AR Simulator Unity MARS</t>
  </si>
  <si>
    <t>unrealistic object placements in AR apps</t>
  </si>
  <si>
    <t>AR no usability, unrealistic object placement detection ML</t>
  </si>
  <si>
    <t>motion tracking sensors</t>
  </si>
  <si>
    <t xml:space="preserve">VR </t>
  </si>
  <si>
    <t>AR, VR</t>
  </si>
  <si>
    <t>questionnaires, comments</t>
  </si>
  <si>
    <t>7 + 12</t>
  </si>
  <si>
    <t>intuitive gestures</t>
  </si>
  <si>
    <t>mobile AR</t>
  </si>
  <si>
    <t>AR App for Evaluators that can be used to enhance studies provides speech to text as speech bubble, bio marker and gesstures  of nearby participants</t>
  </si>
  <si>
    <t>general UX, stress level, emotion</t>
  </si>
  <si>
    <t>STT, stress level, emotion, heart rate, recognised gesture interaction</t>
  </si>
  <si>
    <t>external AR app for evaluators</t>
  </si>
  <si>
    <t>eye and pupil data Pupil Diameter, Pupil Hippus, head movement and behaviour data</t>
  </si>
  <si>
    <t>pupil, eye, head tracking</t>
  </si>
  <si>
    <t>logs and analysis/visualisation scripts</t>
  </si>
  <si>
    <t>Flow graphs, heatmaps, mental workload, challenge and skill as measure of flow as well as stress</t>
  </si>
  <si>
    <t>physiological arousal</t>
  </si>
  <si>
    <t>SCRs and heart rate, face/eyetracking for motion capture</t>
  </si>
  <si>
    <t>heart rate and scr</t>
  </si>
  <si>
    <t>short time frame after decision as arousal frame for ophysiological measures</t>
  </si>
  <si>
    <t xml:space="preserve">Transcript of Verbal Behaviour, non verbal behaviour through rotation of head, the left and right wrists, and the left and right elbows, </t>
  </si>
  <si>
    <t>time-series three-dimensional unity coordinates of 5 trackers located on the participant’s head, left and right elbows, and left and right wrists, audio+transcript, video</t>
  </si>
  <si>
    <t>verbal, non verbal behavioural features of communication basically NLP and body morvent</t>
  </si>
  <si>
    <t>AUTOMATIC PREDICTION OF THE SENSE OF PRESENCE BASED ON MULTIMODAL CUES</t>
  </si>
  <si>
    <t>technique proposal UX test agents als phd topic</t>
  </si>
  <si>
    <t>UX as object displacement error</t>
  </si>
  <si>
    <t>ML Model to detect misplaced object from an image, using unity MARS aka a VR environment</t>
  </si>
  <si>
    <t>posture, loads on human limbs</t>
  </si>
  <si>
    <t>ergonomics(quantifying the levels of discomfort and any risk of injury or long-term musculoskeletal issues)</t>
  </si>
  <si>
    <t>Ergonomics analysis through the sum of postural score, action forces score, material handling score</t>
  </si>
  <si>
    <t>Ergonomics as usability factor in AR</t>
  </si>
  <si>
    <t>Observation, Interview and questionnaire</t>
  </si>
  <si>
    <t>Head and Hand tracking, EEG, Speech signal analysis classification with ML models</t>
  </si>
  <si>
    <t>Head Movement, Hand movement, EEG, Speech Signals</t>
  </si>
  <si>
    <t>subjective usability</t>
  </si>
  <si>
    <t>Physiological and Movement measures, very good introduction and related work</t>
  </si>
  <si>
    <t>Head Movement, Hand movement</t>
  </si>
  <si>
    <t>Questionnaire</t>
  </si>
  <si>
    <t>trying to minimize user fatigue</t>
  </si>
  <si>
    <t>Left Right Up Down Movement of Head and Hands analyzed as actions and amount of excessive movement to minimize user fatigue, UI improvemts davon abgeleitet</t>
  </si>
  <si>
    <t>Eye Tracking: Head Orientation Times, Area of Interests, Object Detection</t>
  </si>
  <si>
    <t>MR</t>
  </si>
  <si>
    <t>A custom built glove  interface, equipped with pressure and EMG  (electromyography) sensors, is used for measuring the  hand load. Pressure values are collected from the  sensors attached on each finger and palm, and the  muscle tension of the user’s forearm is measured with  an EMG sensor.</t>
  </si>
  <si>
    <t>Custom Build Glove for MR but Displayed on see through monitor</t>
  </si>
  <si>
    <t>EMG, pressure</t>
  </si>
  <si>
    <t>trajectory data</t>
  </si>
  <si>
    <t>PANAS Questionnaire</t>
  </si>
  <si>
    <t>logging of position and orientation, compute mean walking speed and mean distance to an agent, creating a tracejotory map as visualization</t>
  </si>
  <si>
    <t>impact of crowd density on user experience in VR settings, Proxemics of virtual agents, impedment through virtual agents, participants’ affective state</t>
  </si>
  <si>
    <t>fuzzy module: The input variables used in the system are the anxiety reported by the patient and their heart rate measured by a sensor, while the output variable is the calculated anxiety.</t>
  </si>
  <si>
    <t>anxiety level</t>
  </si>
  <si>
    <t>AOI-based Gaze Analysis</t>
  </si>
  <si>
    <t>Gaze and area of interest</t>
  </si>
  <si>
    <t>AOI</t>
  </si>
  <si>
    <t>arousal / stress</t>
  </si>
  <si>
    <t>heart rate, electrodermal activity, body temperature</t>
  </si>
  <si>
    <t>Physiological Responses measurements with sensors for HR and EDA</t>
  </si>
  <si>
    <t>Questionnaires</t>
  </si>
  <si>
    <t>MR Driving simulator</t>
  </si>
  <si>
    <t>&lt;p&gt;Export Date: 06 May 2025; Cited By: 0; Correspondence Address: C.H.M. Jambo; Institute of Mathematics and Statistics, Universidade do Estado do Rio de Janeiro, Rio de Janeiro, R. São Francisco Xavier, 524 - Maracanã, RJ, 20550-013, Brazil; email: claudio.jambo@pos.ime.uerj.br&lt;/p&gt;</t>
  </si>
  <si>
    <t>&lt;p&gt;Export Date: 06 May 2025; Cited By: 8; Correspondence Address: S. Öney; VISUS, University of Stuttgart, Germany; email: Seyda.Oeney@visus.uni-stuttgart.de; CODEN: CGFOD&lt;/p&gt;; &lt;div data-citation-items="%5B%7B%22uris%22%3A%5B%22http%3A%2F%2Fzotero.org%2Fusers%2F16717485%2Fitems%2F5C7YBFSK%22%5D%2C%22itemData%22%3A%7B%22id%22%3A%22http%3A%2F%2Fzotero.org%2Fusers%2F16717485%2Fitems%2F5C7YBFSK%22%2C%22type%22%3A%22article-journal%22%2C%22abstract%22%3A%22Augmented%20Reality%20(AR)%20provides%20new%20ways%20for%20situated%20visualization%20and%20human-computer%20interaction%20in%20physical%20environments.%20Current%20evaluation%20procedures%20for%20AR%20applications%20rely%20primarily%20on%20questionnaires%20and%20interviews%2C%20providing%20qualitative%20means%20to%20assess%20usability%20and%20task%20solution%20strategies.%20Eye%20tracking%20extends%20these%20existing%20evaluation%20methodologies%20by%20providing%20indicators%20for%20visual%20attention%20to%20virtual%20and%20real%20elements%20in%20the%20environment.%20However%2C%20the%20analysis%20of%20viewing%20behavior%2C%20especially%20the%20comparison%20of%20multiple%20participants%2C%20is%20difficult%20to%20achieve%20in%20AR.%20Specifically%2C%20the%20definition%20of%20areas%20of%20interest%20(AOIs)%2C%20which%20is%20often%20a%20prerequisite%20for%20such%20analysis%2C%20is%20cumbersome%20and%20tedious%20with%20existing%20approaches.%20To%20address%20this%20issue%2C%20we%20present%20a%20new%20visualization%20approach%20to%20define%20AOIs%2C%20label%20fixations%2C%20and%20investigate%20the%20resulting%20annotated%20scanpaths.%20Our%20approach%20utilizes%20automatic%20annotation%20of%20gaze%20on%20virtual%20objects%20and%20an%20image-based%20approach%20that%20also%20considers%20spatial%20context%20for%20the%20manual%20annotation%20of%20objects%20in%20the%20real%20world.%20Our%20results%20show%2C%20that%20with%20our%20approach%2C%20eye%20tracking%20data%20from%20AR%20scenes%20can%20be%20annotated%20and%20analyzed%20flexibly%20with%20respect%20to%20data%20aspects%20and%20annotation%20strategies.%20%C2%A9%202023%20The%20Authors.%20Computer%20Graphics%20Forum%20published%20by%20Eurographics%20-%20The%20European%20Association%20for%20Computer%20Graphics%20and%20John%20Wiley%20%26%20Sons%20Ltd.%22%2C%22archive%22%3A%22Scopus%22%2C%22container-title%22%3A%22Computer%20Graphics%20Forum%22%2C%22DOI%22%3A%2210.1111%2Fcgf.14837%22%2C%22ISSN%22%3A%2201677055%20(ISSN)%22%2C%22issue%22%3A%223%22%2C%22journalAbbreviation%22%3A%22Comput%20Graphics%20Forum%22%2C%22language%22%3A%22English%22%2C%22note%22%3A%22publisher%3A%20John%20Wiley%20and%20Sons%20Inc%22%2C%22page%22%3A%22373-384%22%2C%22title%22%3A%22Visual%20Gaze%20Labeling%20for%20Augmented%20Reality%20Studies%22%2C%22URL%22%3A%22https%3A%2F%2Fwww.scopus.com%2Finward%2Frecord.uri%3Feid%3D2-s2.0-85163775541%26doi%3D10.1111%252fcgf.14837%26partnerID%3D40%26md5%3D6f5fd40bbe4a27770fe53921e0352365%22%2C%22volume%22%3A%2242%22%2C%22author%22%3A%5B%7B%22family%22%3A%22%C3%96ney%22%2C%22given%22%3A%22S.%22%7D%2C%7B%22family%22%3A%22Pathmanathan%22%2C%22given%22%3A%22N.%22%7D%2C%7B%22family%22%3A%22Becher%22%2C%22given%22%3A%22M.%22%7D%2C%7B%22family%22%3A%22Sedlmair%22%2C%22given%22%3A%22M.%22%7D%2C%7B%22family%22%3A%22Weiskopf%22%2C%22given%22%3A%22D.%22%7D%2C%7B%22family%22%3A%22Kurzhals%22%2C%22given%22%3A%22K.%22%7D%5D%2C%22issued%22%3A%7B%22date-parts%22%3A%5B%5B%222023%22%5D%5D%7D%7D%7D%5D" data-schema-version="9"&gt;&lt;p&gt;Viel AR speziefisch aber teilweise auf VR transferierbar, der VR Teil ist automatisiert ansonsten eher Fokus auf AR Konzept und manuelles labeling&lt;/p&gt; &lt;p&gt;&lt;/p&gt; &lt;h1&gt;Anmerkungen&lt;br&gt;(9.9.2025, 12:26:42)&lt;/h1&gt; &lt;p&gt;&lt;span class="highlight" data-annotation="%7B%22attachmentURI%22%3A%22http%3A%2F%2Fzotero.org%2Fusers%2F16717485%2Fitems%2FV2S2D6I7%22%2C%22annotationKey%22%3A%225HAKC965%22%2C%22color%22%3A%22%23ffd400%22%2C%22pageLabel%22%3A%22374%22%2C%22position%22%3A%7B%22pageIndex%22%3A1%2C%22rects%22%3A%5B%5B359.584%2C591.66%2C548.461%2C599.434%5D%2C%5B309.354%2C580.701%2C376.907%2C588.475%5D%5D%7D%2C%22citationItem%22%3A%7B%22uris%22%3A%5B%22http%3A%2F%2Fzotero.org%2Fusers%2F16717485%2Fitems%2F5C7YBFSK%22%5D%2C%22locator%22%3A%22374%22%7D%7D"&gt;„Fixations on virtual content are labeled and visualized automatically.“&lt;/span&gt; &lt;span class="citation" data-citation="%7B%22citationItems%22%3A%5B%7B%22uris%22%3A%5B%22http%3A%2F%2Fzotero.org%2Fusers%2F16717485%2Fitems%2F5C7YBFSK%22%5D%2C%22locator%22%3A%22374%22%7D%5D%2C%22properties%22%3A%7B%7D%7D"&gt;(&lt;span class="citation-item"&gt;Öney et al., 2023, p. 374&lt;/span&gt;)&lt;/span&gt;&lt;/p&gt; &lt;p&gt;&lt;span class="highlight" data-annotation="%7B%22attachmentURI%22%3A%22http%3A%2F%2Fzotero.org%2Fusers%2F16717485%2Fitems%2FV2S2D6I7%22%2C%22annotationKey%22%3A%22IINB2323%22%2C%22color%22%3A%22%23ffd400%22%2C%22pageLabel%22%3A%22376%22%2C%22position%22%3A%7B%22pageIndex%22%3A3%2C%22rects%22%3A%5B%5B55.568%2C440.118%2C285.458%2C448.179%5D%2C%5B55.568%2C429.159%2C285.458%2C436.933%5D%2C%5B55.568%2C418.2%2C125.049%2C425.974%5D%5D%7D%2C%22citationItem%22%3A%7B%22uris%22%3A%5B%22http%3A%2F%2Fzotero.org%2Fusers%2F16717485%2Fitems%2F5C7YBFSK%22%5D%2C%22locator%22%3A%22376%22%7D%7D"&gt;„Augmented, virtual elements are designed with predefined labels, and gaze on elements is processed automatically by meshbased hit detection.“&lt;/span&gt; &lt;span class="citation" data-citation="%7B%22citationItems%22%3A%5B%7B%22uris%22%3A%5B%22http%3A%2F%2Fzotero.org%2Fusers%2F16717485%2Fitems%2F5C7YBFSK%22%5D%2C%22locator%22%3A%22376%22%7D%5D%2C%22properties%22%3A%7B%7D%7D"&gt;(&lt;span class="citation-item"&gt;Öney et al., 2023, p. 376&lt;/span&gt;)&lt;/span&gt;&lt;/p&gt; &lt;/div&gt;</t>
  </si>
  <si>
    <t>&lt;p&gt;Export Date: 06 May 2025; Cited By: 0&lt;/p&gt;</t>
  </si>
  <si>
    <t>&lt;p&gt;Export Date: 06 May 2025; Cited By: 3; Correspondence Address: V. Kasapakis; Department of Cultural Technology and Communication, University of the Aegean, Lesvos, Greece; email: v.kasapakis@aegean.gr&lt;/p&gt;</t>
  </si>
  <si>
    <t>&lt;p&gt;Export Date: 06 May 2025; Cited By: 5; Conference name: 31st Irish Signals and Systems Conference, ISSC 2020; Conference date: 11 June 2020 through 12 June 2020; Conference code: 162790&lt;/p&gt;</t>
  </si>
  <si>
    <t>&lt;p&gt;Export Date: 06 May 2025; Cited By: 52; Correspondence Address: D. Kamińska; Institute of Mechatronics and Information Systems, Lodz University of Technology, Lodz, 90-924, Poland; email: dorota.kaminska@p.lodz.pl&lt;/p&gt;; &lt;div data-citation-items="%5B%7B%22uris%22%3A%5B%22http%3A%2F%2Fzotero.org%2Fusers%2F16717485%2Fitems%2FEVEDU3WU%22%5D%2C%22itemData%22%3A%7B%22id%22%3A%22http%3A%2F%2Fzotero.org%2Fusers%2F16717485%2Fitems%2FEVEDU3WU%22%2C%22type%22%3A%22article-journal%22%2C%22abstract%22%3A%22The%20need%20for%20objective%20data-driven%20usability%20testing%20of%20VR%20applications%20is%20becoming%20more%20tangible%20with%20the%20rapid%20development%20of%20numerous%20VR%20applications%20and%20their%20increased%20accessibility.%20Traditional%20methods%20of%20testing%20are%20too%20time%20and%20resource%20consuming%20and%20might%20provide%20results%20that%20are%20highly%20subjective.%20Thus%2C%20the%20aim%20of%20this%20article%20is%20to%20explore%20the%20possibility%20of%20automation%20of%20usability%20testing%20of%20VR%20applications%20by%20using%20objective%20features%20such%20as%20HMD%20built-in%20head%20and%20hands%20tracking%2C%20EEG%20sensor%2C%20video%20recording%2C%20and%20other%20measurable%20parameters%20in%20addition%20to%20automated%20analysis%20of%20subjective%20data%20provided%20in%20questionnaires.%20For%20this%20purpose%2C%20a%20simple%20VR%20application%20was%20created%20which%20comprised%20relatively%20easy%20tasks%20that%20did%20not%20generate%20stress%20for%20the%20users.%20Fourteen%20volunteers%20took%20part%20in%20the%20study%20and%20their%20signals%20were%20monitored%20to%20acquire%20objective%20automated%20data.%20At%20the%20same%20time%20the%20observer%20was%20taking%20notes%20of%20subjects%E2%80%99%20behaviour%2C%20and%20their%20subjective%20opinions%20about%20the%20experience%20were%20recorded%20in%20a%20post-experiment%20questionnaire.%20The%20results%20acquired%20from%20signal%20monitoring%20and%20questionnaires%20were%20juxtaposed%20with%20observation%20and%20post-interview%20results%20to%20confirm%20the%20validity%20and%20efficacy%20of%20automated%20usability%20testing.%20The%20results%20were%20very%20promising%2C%20proving%20that%20automated%20usability%20testing%20of%20VR%20applications%20is%20potentially%20achievable.%20%C2%A9%202022%20by%20the%20authors.%20Licensee%20MDPI%2C%20Basel%2C%20Switzerland.%22%2C%22archive%22%3A%22Scopus%22%2C%22container-title%22%3A%22Sensors%22%2C%22DOI%22%3A%2210.3390%2Fs22041342%22%2C%22ISSN%22%3A%2214248220%20(ISSN)%22%2C%22issue%22%3A%224%22%2C%22journalAbbreviation%22%3A%22Sensors%22%2C%22language%22%3A%22English%22%2C%22note%22%3A%22publisher%3A%20MDPI%22%2C%22title%22%3A%22Usability%20Testing%20of%20Virtual%20Reality%20Applications%E2%80%94The%20Pilot%20Study%22%2C%22URL%22%3A%22https%3A%2F%2Fwww.scopus.com%2Finward%2Frecord.uri%3Feid%3D2-s2.0-85124232757%26doi%3D10.3390%252fs22041342%26partnerID%3D40%26md5%3Dcbf897912919d17c6666ff3ddb8058af%22%2C%22volume%22%3A%2222%22%2C%22author%22%3A%5B%7B%22family%22%3A%22Kami%C5%84ska%22%2C%22given%22%3A%22D.%22%7D%2C%7B%22family%22%3A%22Zwoli%C5%84ski%22%2C%22given%22%3A%22G.%22%7D%2C%7B%22family%22%3A%22Laska-Le%C5%9Bniewicz%22%2C%22given%22%3A%22A.%22%7D%5D%2C%22issued%22%3A%7B%22date-parts%22%3A%5B%5B%222022%22%5D%5D%7D%7D%7D%5D" data-schema-version="9"&gt;&lt;p&gt;very good introduction and related work&lt;/p&gt; &lt;p&gt;Physiological and Movement measures compared with ml methods&lt;/p&gt; &lt;h1&gt;Anmerkungen&lt;br&gt;(5.9.2025, 14:25:55)&lt;/h1&gt; &lt;p&gt;&lt;span class="highlight" data-annotation="%7B%22attachmentURI%22%3A%22http%3A%2F%2Fzotero.org%2Fusers%2F16717485%2Fitems%2FEBS5T3J9%22%2C%22annotationKey%22%3A%226LRD7YEU%22%2C%22color%22%3A%22%23ffd400%22%2C%22pageLabel%22%3A%221%22%2C%22position%22%3A%7B%22pageIndex%22%3A0%2C%22rects%22%3A%5B%5B263.072%2C572.63%2C559.625%2C581.256%5D%2C%5B166.394%2C559.659%2C372.792%2C568.285%5D%5D%7D%2C%22citationItem%22%3A%7B%22uris%22%3A%5B%22http%3A%2F%2Fzotero.org%2Fusers%2F16717485%2Fitems%2FEVEDU3WU%22%5D%2C%22locator%22%3A%221%22%7D%7D"&gt;„the aim of this article is to explore the possibility of automation of usability testing of VR applications by using objective features“&lt;/span&gt; &lt;span class="citation" data-citation="%7B%22citationItems%22%3A%5B%7B%22uris%22%3A%5B%22http%3A%2F%2Fzotero.org%2Fusers%2F16717485%2Fitems%2FEVEDU3WU%22%5D%2C%22locator%22%3A%221%22%7D%5D%2C%22properties%22%3A%7B%7D%7D"&gt;(&lt;span class="citation-item"&gt;Kamińska et al., 2022, p. 1&lt;/span&gt;)&lt;/span&gt;&lt;/p&gt; &lt;p&gt;&lt;span class="highlight" data-annotation="%7B%22attachmentURI%22%3A%22http%3A%2F%2Fzotero.org%2Fusers%2F16717485%2Fitems%2FEBS5T3J9%22%2C%22annotationKey%22%3A%228PJH426B%22%2C%22color%22%3A%22%23ffd400%22%2C%22pageLabel%22%3A%221%22%2C%22position%22%3A%7B%22pageIndex%22%3A0%2C%22rects%22%3A%5B%5B426.791%2C455.888%2C560.392%2C464.514%5D%2C%5B166.125%2C442.917%2C501.899%2C451.543%5D%5D%7D%2C%22citationItem%22%3A%7B%22uris%22%3A%5B%22http%3A%2F%2Fzotero.org%2Fusers%2F16717485%2Fitems%2FEVEDU3WU%22%5D%2C%22locator%22%3A%221%22%7D%7D"&gt;„The results were very promising, proving that automated usability testing of VR applications is potentially achievable.“&lt;/span&gt; &lt;span class="citation" data-citation="%7B%22citationItems%22%3A%5B%7B%22uris%22%3A%5B%22http%3A%2F%2Fzotero.org%2Fusers%2F16717485%2Fitems%2FEVEDU3WU%22%5D%2C%22locator%22%3A%221%22%7D%5D%2C%22properties%22%3A%7B%7D%7D"&gt;(&lt;span class="citation-item"&gt;Kamińska et al., 2022, p. 1&lt;/span&gt;)&lt;/span&gt;&lt;/p&gt; &lt;p&gt;&lt;span class="highlight" data-annotation="%7B%22attachmentURI%22%3A%22http%3A%2F%2Fzotero.org%2Fusers%2F16717485%2Fitems%2FEBS5T3J9%22%2C%22annotationKey%22%3A%2232IJYGMF%22%2C%22color%22%3A%22%23ffd400%22%2C%22pageLabel%22%3A%223%22%2C%22position%22%3A%7B%22pageIndex%22%3A2%2C%22rects%22%3A%5B%5B342.393%2C684.047%2C548.739%2C693.631%5D%2C%5B166.394%2C668.505%2C559.274%2C678.089%5D%2C%5B188.021%2C655.952%2C559.272%2C665.536%5D%2C%5B188.021%2C643.399%2C560.52%2C652.983%5D%2C%5B188.021%2C630.846%2C540.647%2C640.43%5D%2C%5B166.394%2C618.293%2C559.271%2C627.877%5D%2C%5B187.603%2C605.74%2C546.057%2C615.324%5D%2C%5B166.394%2C593.187%2C559.274%2C602.771%5D%2C%5B188.021%2C580.634%2C559.272%2C590.218%5D%2C%5B188.021%2C568.081%2C552.503%2C577.665%5D%2C%5B166.394%2C555.529%2C560.524%2C565.113%5D%2C%5B188.021%2C542.976%2C560.93%2C552.56%5D%2C%5B188.021%2C530.423%2C406.302%2C540.007%5D%5D%7D%2C%22citationItem%22%3A%7B%22uris%22%3A%5B%22http%3A%2F%2Fzotero.org%2Fusers%2F16717485%2Fitems%2FEVEDU3WU%22%5D%2C%22locator%22%3A%223%22%7D%7D"&gt;„this work presents the following contributions: • We introduce a procedure for usability testing in VR. The procedure includes an automatic analysis of the objective data (e.g., EEG and speech signal analysis, head and hand tracking, speed of task performance) extracted during typical usability testing, and automatic analysis of subjective data represented by questionnaire answers. • The introduced procedure was tested on fourteen subjects. The results are juxtaposed with specialists’ observations as well as user subjective opinions (post-interview). • All devices used for collecting objective data are integrated with the headset, thus there is no need for additional external measuring or data collecting equipment, which can disturb the VR experience and consequently influence the usability test results. • The presented solution is especially aimed at performing usability tests at scale, eliminating the need for constant supervision and observation, which is resourceconsuming or impossible with bigger test groups.“&lt;/span&gt; &lt;span class="citation" data-citation="%7B%22citationItems%22%3A%5B%7B%22uris%22%3A%5B%22http%3A%2F%2Fzotero.org%2Fusers%2F16717485%2Fitems%2FEVEDU3WU%22%5D%2C%22locator%22%3A%223%22%7D%5D%2C%22properties%22%3A%7B%7D%7D"&gt;(&lt;span class="citation-item"&gt;Kamińska et al., 2022, p. 3&lt;/span&gt;)&lt;/span&gt;&lt;/p&gt; &lt;p&gt;&lt;span class="highlight" data-annotation="%7B%22attachmentURI%22%3A%22http%3A%2F%2Fzotero.org%2Fusers%2F16717485%2Fitems%2FEBS5T3J9%22%2C%22annotationKey%22%3A%22B4TJWQ69%22%2C%22color%22%3A%22%235fb236%22%2C%22pageLabel%22%3A%224%22%2C%22position%22%3A%7B%22pageIndex%22%3A3%2C%22rects%22%3A%5B%5B336.677%2C307.159%2C559.271%2C316.743%5D%2C%5B166.394%2C294.606%2C560.933%2C304.19%5D%2C%5B166.394%2C282.053%2C398.826%2C291.637%5D%5D%7D%2C%22citationItem%22%3A%7B%22uris%22%3A%5B%22http%3A%2F%2Fzotero.org%2Fusers%2F16717485%2Fitems%2FEVEDU3WU%22%5D%2C%22locator%22%3A%224%22%7D%7D"&gt;„VR solutions for the entertainment industry require broadly understood user satisfaction [38], while in the case of training/educational applications, the educational quality should be considered.“&lt;/span&gt; &lt;span class="citation" data-citation="%7B%22citationItems%22%3A%5B%7B%22uris%22%3A%5B%22http%3A%2F%2Fzotero.org%2Fusers%2F16717485%2Fitems%2FEVEDU3WU%22%5D%2C%22locator%22%3A%224%22%7D%5D%2C%22properties%22%3A%7B%7D%7D"&gt;(&lt;span class="citation-item"&gt;Kamińska et al., 2022, p. 4&lt;/span&gt;)&lt;/span&gt;&lt;/p&gt; &lt;p&gt;&lt;span class="highlight" data-annotation="%7B%22attachmentURI%22%3A%22http%3A%2F%2Fzotero.org%2Fusers%2F16717485%2Fitems%2FEBS5T3J9%22%2C%22annotationKey%22%3A%22LCWLFMCS%22%2C%22color%22%3A%22%235fb236%22%2C%22pageLabel%22%3A%225%22%2C%22position%22%3A%7B%22pageIndex%22%3A4%2C%22rects%22%3A%5B%5B187.653%2C621.282%2C559.272%2C630.866%5D%2C%5B166.394%2C608.729%2C560.521%2C618.313%5D%2C%5B166.394%2C596.176%2C559.66%2C605.76%5D%2C%5B166.394%2C583.623%2C286.649%2C593.207%5D%5D%7D%2C%22citationItem%22%3A%7B%22uris%22%3A%5B%22http%3A%2F%2Fzotero.org%2Fusers%2F16717485%2Fitems%2FEVEDU3WU%22%5D%2C%22locator%22%3A%225%22%7D%7D"&gt;„The most reliable and objective usability tests are based on analyzing the user’s recorded biomedical signals [24]. It seems that motion tracking [43,44], eye tracking [45], heart rate [46], EEG signals [47], speech analysis, etc. are the most suitable for usability studies of VR applications.“&lt;/span&gt; &lt;span class="citation" data-citation="%7B%22citationItems%22%3A%5B%7B%22uris%22%3A%5B%22http%3A%2F%2Fzotero.org%2Fusers%2F16717485%2Fitems%2FEVEDU3WU%22%5D%2C%22locator%22%3A%225%22%7D%5D%2C%22properties%22%3A%7B%7D%7D"&gt;(&lt;span class="citation-item"&gt;Kamińska et al., 2022, p. 5&lt;/span&gt;)&lt;/span&gt;&lt;/p&gt; &lt;p&gt;&lt;span class="highlight" data-annotation="%7B%22attachmentURI%22%3A%22http%3A%2F%2Fzotero.org%2Fusers%2F16717485%2Fitems%2FEBS5T3J9%22%2C%22annotationKey%22%3A%22VCGNUDG7%22%2C%22color%22%3A%22%23ffd400%22%2C%22pageLabel%22%3A%226%22%2C%22position%22%3A%7B%22pageIndex%22%3A5%2C%22rects%22%3A%5B%5B303.462%2C193.286%2C559.271%2C202.87%5D%2C%5B166.394%2C180.733%2C559.272%2C190.317%5D%2C%5B166.394%2C168.18%2C559.279%2C177.764%5D%2C%5B166.394%2C155.627%2C203.768%2C165.211%5D%5D%7D%2C%22citationItem%22%3A%7B%22uris%22%3A%5B%22http%3A%2F%2Fzotero.org%2Fusers%2F16717485%2Fitems%2FEVEDU3WU%22%5D%2C%22locator%22%3A%226%22%7D%7D"&gt;„The application registers objective digital parameters of the experience: time, undertaken interactions, head and hands movement tracking, as well as speech and EEG signals. The data is recorded at a frequency of approximately 100 Hz as a CSV file.“&lt;/span&gt; &lt;span class="citation" data-citation="%7B%22citationItems%22%3A%5B%7B%22uris%22%3A%5B%22http%3A%2F%2Fzotero.org%2Fusers%2F16717485%2Fitems%2FEVEDU3WU%22%5D%2C%22locator%22%3A%226%22%7D%5D%2C%22properties%22%3A%7B%7D%7D"&gt;(&lt;span class="citation-item"&gt;Kamińska et al., 2022, p. 6&lt;/span&gt;)&lt;/span&gt;&lt;/p&gt; &lt;p&gt;&lt;span class="highlight" data-annotation="%7B%22attachmentURI%22%3A%22http%3A%2F%2Fzotero.org%2Fusers%2F16717485%2Fitems%2FEBS5T3J9%22%2C%22annotationKey%22%3A%22Y68ISWWC%22%2C%22color%22%3A%22%23ffd400%22%2C%22pageLabel%22%3A%227%22%2C%22position%22%3A%7B%22pageIndex%22%3A6%2C%22rects%22%3A%5B%5B191.898%2C339.449%2C372.092%2C349.033%5D%5D%7D%2C%22citationItem%22%3A%7B%22uris%22%3A%5B%22http%3A%2F%2Fzotero.org%2Fusers%2F16717485%2Fitems%2FEVEDU3WU%22%5D%2C%22locator%22%3A%227%22%7D%7D"&gt;„HMD Built-In Head and Hands Tracking“&lt;/span&gt; &lt;span class="citation" data-citation="%7B%22citationItems%22%3A%5B%7B%22uris%22%3A%5B%22http%3A%2F%2Fzotero.org%2Fusers%2F16717485%2Fitems%2FEVEDU3WU%22%5D%2C%22locator%22%3A%227%22%7D%5D%2C%22properties%22%3A%7B%7D%7D"&gt;(&lt;span class="citation-item"&gt;Kamińska et al., 2022, p. 7&lt;/span&gt;)&lt;/span&gt;&lt;/p&gt; &lt;p&gt;&lt;span class="highlight" data-annotation="%7B%22attachmentURI%22%3A%22http%3A%2F%2Fzotero.org%2Fusers%2F16717485%2Fitems%2FEBS5T3J9%22%2C%22annotationKey%22%3A%22HEVD6ST9%22%2C%22color%22%3A%22%23ffd400%22%2C%22pageLabel%22%3A%227%22%2C%22position%22%3A%7B%22pageIndex%22%3A6%2C%22rects%22%3A%5B%5B522.244%2C273.696%2C559.28%2C283.28%5D%2C%5B166.394%2C261.143%2C559.271%2C270.727%5D%2C%5B166.394%2C248.59%2C559.272%2C258.174%5D%2C%5B166.394%2C236.037%2C337.835%2C245.621%5D%5D%7D%2C%22citationItem%22%3A%7B%22uris%22%3A%5B%22http%3A%2F%2Fzotero.org%2Fusers%2F16717485%2Fitems%2FEVEDU3WU%22%5D%2C%22locator%22%3A%227%22%7D%7D"&gt;„we used accelerometer and gyroscope built in HTC Vive Headset [64] to track the displacement of one’s head and hand from the original position, which provides context information about the physical activity of its user.“&lt;/span&gt; &lt;span class="citation" data-citation="%7B%22citationItems%22%3A%5B%7B%22uris%22%3A%5B%22http%3A%2F%2Fzotero.org%2Fusers%2F16717485%2Fitems%2FEVEDU3WU%22%5D%2C%22locator%22%3A%227%22%7D%5D%2C%22properties%22%3A%7B%7D%7D"&gt;(&lt;span class="citation-item"&gt;Kamińska et al., 2022, p. 7&lt;/span&gt;)&lt;/span&gt;&lt;/p&gt; &lt;p&gt;&lt;span class="highlight" data-annotation="%7B%22attachmentURI%22%3A%22http%3A%2F%2Fzotero.org%2Fusers%2F16717485%2Fitems%2FEBS5T3J9%22%2C%22annotationKey%22%3A%22LMXE2YTV%22%2C%22color%22%3A%22%23ffd400%22%2C%22pageLabel%22%3A%229%22%2C%22position%22%3A%7B%22pageIndex%22%3A8%2C%22rects%22%3A%5B%5B191.898%2C435.427%2C299.176%2C445.011%5D%5D%7D%2C%22citationItem%22%3A%7B%22uris%22%3A%5B%22http%3A%2F%2Fzotero.org%2Fusers%2F16717485%2Fitems%2FEVEDU3WU%22%5D%2C%22locator%22%3A%229%22%7D%7D"&gt;„Electroencephalography“&lt;/span&gt; &lt;span class="citation" data-citation="%7B%22citationItems%22%3A%5B%7B%22uris%22%3A%5B%22http%3A%2F%2Fzotero.org%2Fusers%2F16717485%2Fitems%2FEVEDU3WU%22%5D%2C%22locator%22%3A%229%22%7D%5D%2C%22properties%22%3A%7B%7D%7D"&gt;(&lt;span class="citation-item"&gt;Kamińska et al., 2022, p. 9&lt;/span&gt;)&lt;/span&gt;&lt;/p&gt; &lt;p&gt;&lt;span class="highlight" data-annotation="%7B%22attachmentURI%22%3A%22http%3A%2F%2Fzotero.org%2Fusers%2F16717485%2Fitems%2FEBS5T3J9%22%2C%22annotationKey%22%3A%22SPU8VA9D%22%2C%22color%22%3A%22%23ffd400%22%2C%22pageLabel%22%3A%229%22%2C%22position%22%3A%7B%22pageIndex%22%3A8%2C%22rects%22%3A%5B%5B165.975%2C319.462%2C559.272%2C329.046%5D%2C%5B166.394%2C306.909%2C318.393%2C316.493%5D%5D%7D%2C%22citationItem%22%3A%7B%22uris%22%3A%5B%22http%3A%2F%2Fzotero.org%2Fusers%2F16717485%2Fitems%2FEVEDU3WU%22%5D%2C%22locator%22%3A%229%22%7D%7D"&gt;„we used the Looxid Link device to perceive, evaluate, and monitor the affective state of the user while testing the VR app [66].“&lt;/span&gt; &lt;span class="citation" data-citation="%7B%22citationItems%22%3A%5B%7B%22uris%22%3A%5B%22http%3A%2F%2Fzotero.org%2Fusers%2F16717485%2Fitems%2FEVEDU3WU%22%5D%2C%22locator%22%3A%229%22%7D%5D%2C%22properties%22%3A%7B%7D%7D"&gt;(&lt;span class="citation-item"&gt;Kamińska et al., 2022, p. 9&lt;/span&gt;)&lt;/span&gt;&lt;/p&gt; &lt;p&gt;&lt;span class="highlight" data-annotation="%7B%22attachmentURI%22%3A%22http%3A%2F%2Fzotero.org%2Fusers%2F16717485%2Fitems%2FEBS5T3J9%22%2C%22annotationKey%22%3A%22I9QCCKLI%22%2C%22color%22%3A%22%235fb236%22%2C%22pageLabel%22%3A%2210%22%2C%22position%22%3A%7B%22pageIndex%22%3A9%2C%22rects%22%3A%5B%5B361.306%2C70.854%2C559.271%2C80.438%5D%2C%5B166.394%2C58.301%2C530.278%2C67.885%5D%5D%7D%2C%22citationItem%22%3A%7B%22uris%22%3A%5B%22http%3A%2F%2Fzotero.org%2Fusers%2F16717485%2Fitems%2FEVEDU3WU%22%5D%2C%22locator%22%3A%2210%22%7D%7D"&gt;„It was proven that facial expressions provide high accuracy on what users are feeling in relation to what they are saying [68].“&lt;/span&gt; &lt;span class="citation" data-citation="%7B%22citationItems%22%3A%5B%7B%22uris%22%3A%5B%22http%3A%2F%2Fzotero.org%2Fusers%2F16717485%2Fitems%2FEVEDU3WU%22%5D%2C%22locator%22%3A%2210%22%7D%5D%2C%22properties%22%3A%7B%7D%7D"&gt;(&lt;span class="citation-item"&gt;Kamińska et al., 2022, p. 10&lt;/span&gt;)&lt;/span&gt;&lt;/p&gt; &lt;p&gt;&lt;span class="highlight" data-annotation="%7B%22attachmentURI%22%3A%22http%3A%2F%2Fzotero.org%2Fusers%2F16717485%2Fitems%2FEBS5T3J9%22%2C%22annotationKey%22%3A%22V8DEPPSK%22%2C%22color%22%3A%22%235fb236%22%2C%22pageLabel%22%3A%2211%22%2C%22position%22%3A%7B%22pageIndex%22%3A10%2C%22rects%22%3A%5B%5B166.115%2C734.259%2C559.279%2C743.843%5D%2C%5B166.394%2C721.706%2C325.86%2C731.29%5D%5D%7D%2C%22citationItem%22%3A%7B%22uris%22%3A%5B%22http%3A%2F%2Fzotero.org%2Fusers%2F16717485%2Fitems%2FEVEDU3WU%22%5D%2C%22locator%22%3A%2211%22%7D%7D"&gt;„video recording of the user’s actions and facial expressions contribute to a more detailed analysis of the product usability [24].“&lt;/span&gt; &lt;span class="citation" data-citation="%7B%22citationItems%22%3A%5B%7B%22uris%22%3A%5B%22http%3A%2F%2Fzotero.org%2Fusers%2F16717485%2Fitems%2FEVEDU3WU%22%5D%2C%22locator%22%3A%2211%22%7D%5D%2C%22properties%22%3A%7B%7D%7D"&gt;(&lt;span class="citation-item"&gt;Kamińska et al., 2022, p. 11&lt;/span&gt;)&lt;/span&gt;&lt;/p&gt; &lt;p&gt;&lt;span class="highlight" data-annotation="%7B%22attachmentURI%22%3A%22http%3A%2F%2Fzotero.org%2Fusers%2F16717485%2Fitems%2FEBS5T3J9%22%2C%22annotationKey%22%3A%22R44DB43U%22%2C%22color%22%3A%22%23ffd400%22%2C%22pageLabel%22%3A%2211%22%2C%22position%22%3A%7B%22pageIndex%22%3A10%2C%22rects%22%3A%5B%5B328.916%2C721.706%2C559.272%2C731.29%5D%2C%5B166.394%2C709.153%2C559.271%2C718.737%5D%2C%5B166.394%2C696.6%2C222.483%2C706.184%5D%5D%7D%2C%22citationItem%22%3A%7B%22uris%22%3A%5B%22http%3A%2F%2Fzotero.org%2Fusers%2F16717485%2Fitems%2FEVEDU3WU%22%5D%2C%22locator%22%3A%2211%22%7D%7D"&gt;„However, in the case of VR application testing, where HMD covers almost the whole face of the sample, it is impossible to analyze emotions from the mimicry.“&lt;/span&gt; &lt;span class="citation" data-citation="%7B%22citationItems%22%3A%5B%7B%22uris%22%3A%5B%22http%3A%2F%2Fzotero.org%2Fusers%2F16717485%2Fitems%2FEVEDU3WU%22%5D%2C%22locator%22%3A%2211%22%7D%5D%2C%22properties%22%3A%7B%7D%7D"&gt;(&lt;span class="citation-item"&gt;Kamińska et al., 2022, p. 11&lt;/span&gt;)&lt;/span&gt;&lt;/p&gt; &lt;p&gt;&lt;span class="highlight" data-annotation="%7B%22attachmentURI%22%3A%22http%3A%2F%2Fzotero.org%2Fusers%2F16717485%2Fitems%2FEBS5T3J9%22%2C%22annotationKey%22%3A%222BJ56T65%22%2C%22color%22%3A%22%23ffd400%22%2C%22pageLabel%22%3A%2214%22%2C%22position%22%3A%7B%22pageIndex%22%3A13%2C%22rects%22%3A%5B%5B200.259%2C735.526%2C386.948%2C744.152%5D%2C%5B233.375%2C711.041%2C546.503%2C723.442%5D%2C%5B375.241%2C706.309%2C546.869%2C713.977%5D%2C%5B232.965%2C692.112%2C546.503%2C704.513%5D%2C%5B375.241%2C687.38%2C546.869%2C695.048%5D%2C%5B255.707%2C673.183%2C551.999%2C685.584%5D%2C%5B368.827%2C668.451%2C553.281%2C676.119%5D%2C%5B240.688%2C649.522%2C288.54%2C657.19%5D%2C%5B386.053%2C658.118%2C535.559%2C666.907%5D%2C%5B396.836%2C649.522%2C525.274%2C657.19%5D%2C%5B388.448%2C640.058%2C533.663%2C647.726%5D%5D%7D%2C%22citationItem%22%3A%7B%22uris%22%3A%5B%22http%3A%2F%2Fzotero.org%2Fusers%2F16717485%2Fitems%2FEVEDU3WU%22%5D%2C%22locator%22%3A%2214%22%7D%7D"&gt;„Features extracted from each captured data set. Head movements Y-axis rotation: mean, median, std, max and min X-axis rotation: mean, median, std, max and min Hand movements Y-axis rotation: mean, median, std, max and min X-axis rotation: mean, median, std, max and min EEG Level of attention: mean, median, std, max and min Level of relaxation: mean, median, std, max and min Speech signal MFCC: mean values of MFCC1 − MFCC13 F0: mean, median, std, max and min Energy: mean, median, std, max and min“&lt;/span&gt; &lt;span class="citation" data-citation="%7B%22citationItems%22%3A%5B%7B%22uris%22%3A%5B%22http%3A%2F%2Fzotero.org%2Fusers%2F16717485%2Fitems%2FEVEDU3WU%22%5D%2C%22locator%22%3A%2214%22%7D%5D%2C%22properties%22%3A%7B%7D%7D"&gt;(&lt;span class="citation-item"&gt;Kamińska et al., 2022, p. 14&lt;/span&gt;)&lt;/span&gt;&lt;/p&gt; &lt;p&gt;&lt;span class="highlight" data-annotation="%7B%22attachmentURI%22%3A%22http%3A%2F%2Fzotero.org%2Fusers%2F16717485%2Fitems%2FEBS5T3J9%22%2C%22annotationKey%22%3A%22UF2YJRSG%22%2C%22color%22%3A%22%23ffd400%22%2C%22pageLabel%22%3A%2214%22%2C%22position%22%3A%7B%22pageIndex%22%3A13%2C%22rects%22%3A%5B%5B390.931%2C558.528%2C559.279%2C568.112%5D%2C%5B166.394%2C545.976%2C559.271%2C555.56%5D%2C%5B166.065%2C533.423%2C559.274%2C543.007%5D%2C%5B166.065%2C520.87%2C394.538%2C530.454%5D%5D%7D%2C%22citationItem%22%3A%7B%22uris%22%3A%5B%22http%3A%2F%2Fzotero.org%2Fusers%2F16717485%2Fitems%2FEVEDU3WU%22%5D%2C%22locator%22%3A%2214%22%7D%7D"&gt;„The verification of efficiency of feature subsets is carried out using several types of classifiers such as k-nearest neighbors algorithm (k-NN), support-vector machines (SVM), Multilayer Perceptron (MLP), and Random Forest (RF) using Weka [72], with 10-fold cross-validation.“&lt;/span&gt; &lt;span class="citation" data-citation="%7B%22citationItems%22%3A%5B%7B%22uris%22%3A%5B%22http%3A%2F%2Fzotero.org%2Fusers%2F16717485%2Fitems%2FEVEDU3WU%22%5D%2C%22locator%22%3A%2214%22%7D%5D%2C%22properties%22%3A%7B%7D%7D"&gt;(&lt;span class="citation-item"&gt;Kamińska et al., 2022, p. 14&lt;/span&gt;)&lt;/span&gt;&lt;/p&gt; &lt;p&gt;&lt;span class="highlight" data-annotation="%7B%22attachmentURI%22%3A%22http%3A%2F%2Fzotero.org%2Fusers%2F16717485%2Fitems%2FEBS5T3J9%22%2C%22annotationKey%22%3A%22FCSXJVNP%22%2C%22color%22%3A%22%23ffd400%22%2C%22pageLabel%22%3A%2214%22%2C%22position%22%3A%7B%22pageIndex%22%3A13%2C%22rects%22%3A%5B%5B357.823%2C419.25%2C559.272%2C428.834%5D%2C%5B166.394%2C406.697%2C559.279%2C416.281%5D%2C%5B166.394%2C394.144%2C317.419%2C403.728%5D%5D%7D%2C%22citationItem%22%3A%7B%22uris%22%3A%5B%22http%3A%2F%2Fzotero.org%2Fusers%2F16717485%2Fitems%2FEVEDU3WU%22%5D%2C%22locator%22%3A%2214%22%7D%7D"&gt;„the best results are achieved for the subsets containing speech signal features (68.51% using SVM). We suspect that this may be related to silence during issue-free tasks.“&lt;/span&gt; &lt;span class="citation" data-citation="%7B%22citationItems%22%3A%5B%7B%22uris%22%3A%5B%22http%3A%2F%2Fzotero.org%2Fusers%2F16717485%2Fitems%2FEVEDU3WU%22%5D%2C%22locator%22%3A%2214%22%7D%5D%2C%22properties%22%3A%7B%7D%7D"&gt;(&lt;span class="citation-item"&gt;Kamińska et al., 2022, p. 14&lt;/span&gt;)&lt;/span&gt; intresting, könnte ein gutes Argument für den LLM scene bot sein&lt;/p&gt; &lt;p&gt;&lt;span class="highlight" data-annotation="%7B%22attachmentURI%22%3A%22http%3A%2F%2Fzotero.org%2Fusers%2F16717485%2Fitems%2FEBS5T3J9%22%2C%22annotationKey%22%3A%22Z834KTX3%22%2C%22color%22%3A%22%23ffd400%22%2C%22pageLabel%22%3A%2216%22%2C%22position%22%3A%7B%22pageIndex%22%3A15%2C%22rects%22%3A%5B%5B337.855%2C256.947%2C559.272%2C266.531%5D%2C%5B166.394%2C244.394%2C559.28%2C253.978%5D%2C%5B166.394%2C231.841%2C559.271%2C241.425%5D%2C%5B166.394%2C219.288%2C532.534%2C228.872%5D%5D%7D%2C%22citationItem%22%3A%7B%22uris%22%3A%5B%22http%3A%2F%2Fzotero.org%2Fusers%2F16717485%2Fitems%2FEVEDU3WU%22%5D%2C%22locator%22%3A%2216%22%7D%7D"&gt;„further research should focus on extracting more sophisticated features from already obtained signals (e.g. instead of using stock features of Looxid Link, consider using raw EEG signal) or collecting data from additional sources like eye tracking, infrared thermal imaging, galvanic skin response, motion capture, etc.“&lt;/span&gt; &lt;span class="citation" data-citation="%7B%22citationItems%22%3A%5B%7B%22uris%22%3A%5B%22http%3A%2F%2Fzotero.org%2Fusers%2F16717485%2Fitems%2FEVEDU3WU%22%5D%2C%22locator%22%3A%2216%22%7D%5D%2C%22properties%22%3A%7B%7D%7D"&gt;(&lt;span class="citation-item"&gt;Kamińska et al., 2022, p. 16&lt;/span&gt;)&lt;/span&gt;&lt;/p&gt; &lt;/div&gt;</t>
  </si>
  <si>
    <t>&lt;p&gt;Export Date: 06 May 2025; Cited By: 4; Correspondence Address: M. Ochs; Aix Marseille Univ, Université de Toulon, CNRS, LIS, Marseille, France; email: magalie.ochs@lis-lab.fr&lt;/p&gt;</t>
  </si>
  <si>
    <t>&lt;p&gt;Export Date: 06 May 2025; Cited By: 43; Conference name: 27th IEEE Conference on Virtual Reality and 3D User Interfaces, VR 2020; Conference date: 22 March 2020 through 26 March 2020; Conference code: 159690&lt;/p&gt;</t>
  </si>
  <si>
    <t>&lt;div data-citation-items="%5B%7B%22uris%22%3A%5B%22http%3A%2F%2Fzotero.org%2Fusers%2F16717485%2Fitems%2FMNX66JZJ%22%5D%2C%22itemData%22%3A%7B%22id%22%3A%22http%3A%2F%2Fzotero.org%2Fusers%2F16717485%2Fitems%2FMNX66JZJ%22%2C%22type%22%3A%22article-journal%22%2C%22abstract%22%3A%22Many%20recent%20breakthroughs%20in%20medical%20diagnostics%20and%20drug%20discovery%20arise%20from%20deploying%20machine%20learning%20algorithms%20to%20large-scale%20data%20sets.%20However%2C%20a%20significant%20obstacle%20to%20such%20approaches%20is%20that%20they%20depend%20on%20high-quality%20annotations%20generated%20by%20domain%20experts.%20This%20study%20develops%20and%20evaluates%20BioLumin%2C%20a%20novel%20immersive%20mixed%20reality%20environment%20that%20enables%20users%20to%20virtually%20shrink%20down%20to%20the%20microscopic%20level%20for%20navigation%20and%20annotation%20of%203D%20reconstructed%20images.%20We%20discuss%20how%20domain%20experts%20were%20consulted%20in%20the%20specification%20of%20a%20pipeline%20to%20enable%20automatic%20reconstruction%20of%20biological%20models%20for%20mixed%20reality%20environments%2C%20driving%20the%20design%20of%20a%203DUI%20system%20to%20explore%20whether%20such%20a%20system%20allows%20accurate%20annotation%20of%20complex%20medical%20data%20by%20non-experts.%20To%20examine%20the%20usability%20and%20feasibility%20of%20BioLumin%2C%20we%20evaluated%20our%20prototype%20through%20a%20multi-stage%20mixed-method%20approach.%20First%2C%20three%20domain%20experts%20offered%20expert%20reviews%2C%20and%20subsequently%2C%20nineteen%20non-expert%20users%20performed%20representative%20annotation%20tasks%20in%20a%20controlled%20setting.%20The%20results%20indicated%20that%20the%20mixed%20reality%20system%20was%20learnable%20and%20that%20non-experts%20could%20generate%20high-quality%203D%20annotations%20after%20a%20short%20training%20session.%20Lastly%2C%20we%20discuss%20design%20considerations%20for%20future%20tools%20like%20BioLumin%20in%20medical%20and%20more%20general%20scientific%20contexts.%20%20%C2%A9%202022%20Copyright%20held%20by%20the%20owner%2Fauthor(s).%22%2C%22archive%22%3A%22Scopus%22%2C%22container-title%22%3A%22ACM%20Transactions%20on%20Computing%20for%20Healthcare%22%2C%22DOI%22%3A%2210.1145%2F3548777%22%2C%22ISSN%22%3A%2226911957%20(ISSN)%22%2C%22issue%22%3A%224%22%2C%22journalAbbreviation%22%3A%22ACM%20Trans.%20Comput.%20Healthc.%22%2C%22language%22%3A%22English%22%2C%22note%22%3A%22publisher%3A%20Association%20for%20Computing%20Machinery%22%2C%22title%22%3A%22BioLumin%3A%20An%20Immersive%20Mixed%20Reality%20Experience%20for%20Interactive%20Microscopic%20Visualization%20and%20Biomedical%20Research%20Annotation%22%2C%22URL%22%3A%22https%3A%2F%2Fwww.scopus.com%2Finward%2Frecord.uri%3Feid%3D2-s2.0-85146436869%26doi%3D10.1145%252f3548777%26partnerID%3D40%26md5%3D4c0c620b2dfbe57eb2879a57fc070f66%22%2C%22volume%22%3A%223%22%2C%22author%22%3A%5B%7B%22family%22%3A%22Elor%22%2C%22given%22%3A%22A.%22%7D%2C%7B%22family%22%3A%22Whittaker%22%2C%22given%22%3A%22S.%22%7D%2C%7B%22family%22%3A%22Kurniawan%22%2C%22given%22%3A%22S.%22%7D%2C%7B%22family%22%3A%22Michael%22%2C%22given%22%3A%22S.%22%7D%5D%2C%22issued%22%3A%7B%22date-parts%22%3A%5B%5B%222022%22%5D%5D%7D%7D%7D%5D" data-schema-version="9"&gt;&lt;h1&gt;Anmerkungen&lt;br/&gt;(20.8.2025, 10:40:05)&lt;/h1&gt; &lt;p&gt;&lt;span class="highlight" data-annotation="%7B%22attachmentURI%22%3A%22http%3A%2F%2Fzotero.org%2Fusers%2F16717485%2Fitems%2FLTEG5XVQ%22%2C%22annotationKey%22%3A%22IFX3GWWB%22%2C%22color%22%3A%22%23ffd400%22%2C%22pageLabel%22%3A%229%22%2C%22position%22%3A%7B%22pageIndex%22%3A8%2C%22rects%22%3A%5B%5B396.776%2C126.553%2C532.501%2C135.579%5D%5D%7D%2C%22citationItem%22%3A%7B%22uris%22%3A%5B%22http%3A%2F%2Fzotero.org%2Fusers%2F16717485%2Fitems%2FMNX66JZJ%22%5D%2C%22locator%22%3A%229%22%7D%7D"&gt;„motion capture, and eye-tracking“&lt;/span&gt; &lt;span class="citation" data-citation="%7B%22citationItems%22%3A%5B%7B%22uris%22%3A%5B%22http%3A%2F%2Fzotero.org%2Fusers%2F16717485%2Fitems%2FMNX66JZJ%22%5D%2C%22locator%22%3A%229%22%7D%5D%2C%22properties%22%3A%7B%7D%7D"&gt;(&lt;span class="citation-item"&gt;Elor et al., 2022, p. 9&lt;/span&gt;)&lt;/span&gt;&lt;/p&gt;&lt;p&gt;&lt;span class="highlight" data-annotation="%7B%22attachmentURI%22%3A%22http%3A%2F%2Fzotero.org%2Fusers%2F16717485%2Fitems%2FLTEG5XVQ%22%2C%22annotationKey%22%3A%22ZZD7RLI7%22%2C%22color%22%3A%22%23ffd400%22%2C%22pageLabel%22%3A%2211%22%2C%22position%22%3A%7B%22pageIndex%22%3A10%2C%22rects%22%3A%5B%5B80.82%2C144.58%2C514.894%2C153.606%5D%5D%7D%2C%22citationItem%22%3A%7B%22uris%22%3A%5B%22http%3A%2F%2Fzotero.org%2Fusers%2F16717485%2Fitems%2FMNX66JZJ%22%5D%2C%22locator%22%3A%2211%22%7D%7D"&gt;„user engagement, annotation completion, annotation efficacy, annotation redundancies, and usability score“&lt;/span&gt; &lt;span class="citation" data-citation="%7B%22citationItems%22%3A%5B%7B%22uris%22%3A%5B%22http%3A%2F%2Fzotero.org%2Fusers%2F16717485%2Fitems%2FMNX66JZJ%22%5D%2C%22locator%22%3A%2211%22%7D%5D%2C%22properties%22%3A%7B%7D%7D"&gt;(&lt;span class="citation-item"&gt;Elor et al., 2022, p. 11&lt;/span&gt;)&lt;/span&gt;&lt;/p&gt;&lt;p&gt;&lt;span class="highlight" data-annotation="%7B%22attachmentURI%22%3A%22http%3A%2F%2Fzotero.org%2Fusers%2F16717485%2Fitems%2FLTEG5XVQ%22%2C%22annotationKey%22%3A%223I4LNZ5B%22%2C%22color%22%3A%22%23ffd400%22%2C%22pageLabel%22%3A%2212%22%2C%22position%22%3A%7B%22pageIndex%22%3A11%2C%22rects%22%3A%5B%5B89.72%2C607.082%2C531.444%2C616.108%5D%2C%5B79.756%2C595.12%2C531.43%2C604.147%5D%2C%5B79.756%2C583.168%2C531.705%2C592.194%5D%2C%5B79.756%2C571.216%2C531.419%2C580.242%5D%2C%5B79.756%2C559.255%2C531.431%2C568.281%5D%2C%5B79.756%2C547.303%2C531.416%2C556.329%5D%2C%5B79.388%2C535.351%2C531.43%2C544.377%5D%2C%5B79.756%2C523.39%2C432.339%2C532.416%5D%5D%7D%2C%22citationItem%22%3A%7B%22uris%22%3A%5B%22http%3A%2F%2Fzotero.org%2Fusers%2F16717485%2Fitems%2FMNX66JZJ%22%5D%2C%22locator%22%3A%2212%22%7D%7D"&gt;„3.4.2 DV2 &amp;amp; DV3 - Annotation Completion and Redundancies. We also assessed accuracy by measuring the completion and redundancy of annotations. Users were required to place 3DUI annotations on all overlapping blood vessels and tumor growth points in the Omentum model. Spherical colliders were placed in the Unity scene on regions of the Omentum tissue where the blood vessel mesh overlapped with the tumor growth mesh to calculate the percentage of task completion. These colliders were used as indices to track each annotation sphere the user placed to assess both total successful annotation completion (e.g., how many annotations overlapped with the spherical colliders) and also annotation redundancies (e.g., how many annotations did not overlap with the tumor-blood vessel meshes or were placed on a vessel that was already annotated).“&lt;/span&gt; &lt;span class="citation" data-citation="%7B%22citationItems%22%3A%5B%7B%22uris%22%3A%5B%22http%3A%2F%2Fzotero.org%2Fusers%2F16717485%2Fitems%2FMNX66JZJ%22%5D%2C%22locator%22%3A%2212%22%7D%5D%2C%22properties%22%3A%7B%7D%7D"&gt;(&lt;span class="citation-item"&gt;Elor et al., 2022, p. 12&lt;/span&gt;)&lt;/span&gt; Effectiveness and efficiency are related to tasks and environments like annotating a blood vessel or tumor here&lt;/p&gt;&lt;p&gt;&lt;span class="highlight" data-annotation="%7B%22attachmentURI%22%3A%22http%3A%2F%2Fzotero.org%2Fusers%2F16717485%2Fitems%2FLTEG5XVQ%22%2C%22annotationKey%22%3A%222P7ASTSD%22%2C%22color%22%3A%22%232ea8e5%22%2C%22pageLabel%22%3A%2212%22%2C%22position%22%3A%7B%22pageIndex%22%3A11%2C%22rects%22%3A%5B%5B117.335%2C388.085%2C360.709%2C397.111%5D%5D%7D%2C%22citationItem%22%3A%7B%22uris%22%3A%5B%22http%3A%2F%2Fzotero.org%2Fusers%2F16717485%2Fitems%2FMNX66JZJ%22%5D%2C%22locator%22%3A%2212%22%7D%7D"&gt;„Independent Variables to Predict Success and Usability Metrics.“&lt;/span&gt; &lt;span class="citation" data-citation="%7B%22citationItems%22%3A%5B%7B%22uris%22%3A%5B%22http%3A%2F%2Fzotero.org%2Fusers%2F16717485%2Fitems%2FMNX66JZJ%22%5D%2C%22locator%22%3A%2212%22%7D%5D%2C%22properties%22%3A%7B%7D%7D"&gt;(&lt;span class="citation-item"&gt;Elor et al., 2022, p. 12&lt;/span&gt;)&lt;/span&gt;&lt;/p&gt;&lt;p&gt;&lt;span class="highlight" data-annotation="%7B%22attachmentURI%22%3A%22http%3A%2F%2Fzotero.org%2Fusers%2F16717485%2Fitems%2FLTEG5XVQ%22%2C%22annotationKey%22%3A%22VAKUEPI3%22%2C%22color%22%3A%22%23ffd400%22%2C%22pageLabel%22%3A%2212%22%2C%22position%22%3A%7B%22pageIndex%22%3A11%2C%22rects%22%3A%5B%5B181.138%2C364.171%2C532.544%2C373.198%5D%2C%5B79.756%2C352.219%2C531.399%2C361.245%5D%2C%5B79.756%2C340.258%2C293.141%2C349.284%5D%2C%5B89.719%2C328.306%2C533.145%2C337.332%5D%2C%5B79.756%2C316.354%2C170.236%2C325.38%5D%5D%7D%2C%22citationItem%22%3A%7B%22uris%22%3A%5B%22http%3A%2F%2Fzotero.org%2Fusers%2F16717485%2Fitems%2FMNX66JZJ%22%5D%2C%22locator%22%3A%2212%22%7D%7D"&gt;„This quantitative data includes the controller pose (position and rotation), headset pose, Omentum model pose, total eye tracking movement, and the BioLumin control function usages (total time usages of model placement, translation, rotation, and scale). This logfile data was supplemented with qualitative data collected through video recordings and postexperimental surveys.“&lt;/span&gt; &lt;span class="citation" data-citation="%7B%22citationItems%22%3A%5B%7B%22uris%22%3A%5B%22http%3A%2F%2Fzotero.org%2Fusers%2F16717485%2Fitems%2FMNX66JZJ%22%5D%2C%22locator%22%3A%2212%22%7D%5D%2C%22properties%22%3A%7B%7D%7D"&gt;(&lt;span class="citation-item"&gt;Elor et al., 2022, p. 12&lt;/span&gt;)&lt;/span&gt;&lt;/p&gt;&lt;p&gt;&lt;span class="highlight" data-annotation="%7B%22attachmentURI%22%3A%22http%3A%2F%2Fzotero.org%2Fusers%2F16717485%2Fitems%2FLTEG5XVQ%22%2C%22annotationKey%22%3A%22JSALC6HA%22%2C%22color%22%3A%22%23ffd400%22%2C%22pageLabel%22%3A%2212%22%2C%22position%22%3A%7B%22pageIndex%22%3A11%2C%22rects%22%3A%5B%5B513.531%2C175.602%2C531.427%2C184.628%5D%2C%5B79.756%2C163.65%2C531.681%2C172.676%5D%2C%5B79.756%2C151.689%2C531.625%2C160.715%5D%2C%5B79.756%2C139.737%2C531.782%2C148.763%5D%2C%5B79.503%2C127.785%2C486.387%2C136.811%5D%5D%7D%2C%22citationItem%22%3A%7B%22uris%22%3A%5B%22http%3A%2F%2Fzotero.org%2Fusers%2F16717485%2Fitems%2FMNX66JZJ%22%5D%2C%22locator%22%3A%2212%22%7D%7D"&gt;„This initial analysis defined the codebook, so the researchers next created a Python script to expedite coder analysis by displaying five-second clips with three exclusive behavioral codes for both user viewing strategies and controller holding behaviors (as shown in Figure 7). The codes were then used as independent variables to model how viewing and holding strategies and other variables influence user performance and system usability.“&lt;/span&gt; &lt;span class="citation" data-citation="%7B%22citationItems%22%3A%5B%7B%22uris%22%3A%5B%22http%3A%2F%2Fzotero.org%2Fusers%2F16717485%2Fitems%2FMNX66JZJ%22%5D%2C%22locator%22%3A%2212%22%7D%5D%2C%22properties%22%3A%7B%7D%7D"&gt;(&lt;span class="citation-item"&gt;Elor et al., 2022, p. 12&lt;/span&gt;)&lt;/span&gt;&lt;/p&gt;&lt;p&gt;&lt;span class="highlight" data-annotation="%7B%22attachmentURI%22%3A%22http%3A%2F%2Fzotero.org%2Fusers%2F16717485%2Fitems%2FLTEG5XVQ%22%2C%22annotationKey%22%3A%229TJBFZQY%22%2C%22color%22%3A%22%23ffd400%22%2C%22pageLabel%22%3A%2214%22%2C%22position%22%3A%7B%22pageIndex%22%3A13%2C%22rects%22%3A%5B%5B106.126%2C649.77%2C523.568%2C658.087%5D%2C%5B121.153%2C638.392%2C495.624%2C646.709%5D%2C%5B116.733%2C627.006%2C495.624%2C635.323%5D%2C%5B118.516%2C615.619%2C495.624%2C623.936%5D%2C%5B98.413%2C604.241%2C493.484%2C612.558%5D%2C%5B122.007%2C592.854%2C493.485%2C601.172%5D%2C%5B103.497%2C581.468%2C495.624%2C589.785%5D%2C%5B92.392%2C570.09%2C495.623%2C578.407%5D%5D%7D%2C%22citationItem%22%3A%7B%22uris%22%3A%5B%22http%3A%2F%2Fzotero.org%2Fusers%2F16717485%2Fitems%2FMNX66JZJ%22%5D%2C%22locator%22%3A%2214%22%7D%7D"&gt;„Coded Behavior from BioLumin Percent Agreement Cohen’s Kappa N Agreements N Disagreements Glance - Looking Down 94.82% 0.801 1081 59 Glance - Looking Forward 93.33% 0.808 1064 76 Glance - Leaning Around 97.63% 0.806 1113 27 Holding - Unsupported Single Hand 97.72% 0.954 1114 6 Holding - Double Hand 99.47% 0.987 1134 6 Holding - Supported Single Hand 97.89% 0.983 1116 24 Errors - Model Skewed from Clip Plane 96.40% 0.811 1099 41“&lt;/span&gt; &lt;span class="citation" data-citation="%7B%22citationItems%22%3A%5B%7B%22uris%22%3A%5B%22http%3A%2F%2Fzotero.org%2Fusers%2F16717485%2Fitems%2FMNX66JZJ%22%5D%2C%22locator%22%3A%2214%22%7D%5D%2C%22properties%22%3A%7B%7D%7D"&gt;(&lt;span class="citation-item"&gt;Elor et al., 2022, p. 14&lt;/span&gt;)&lt;/span&gt; lassen&amp;nbsp;teilweise auf usability smells&amp;nbsp; schließen&lt;/p&gt;&lt;p&gt;&lt;span class="highlight" data-annotation="%7B%22attachmentURI%22%3A%22http%3A%2F%2Fzotero.org%2Fusers%2F16717485%2Fitems%2FLTEG5XVQ%22%2C%22annotationKey%22%3A%22GT9GVCM3%22%2C%22color%22%3A%22%232ea8e5%22%2C%22pageLabel%22%3A%2214%22%2C%22position%22%3A%7B%22pageIndex%22%3A13%2C%22rects%22%3A%5B%5B104.167%2C479.453%2C423.894%2C488.838%5D%5D%7D%2C%22citationItem%22%3A%7B%22uris%22%3A%5B%22http%3A%2F%2Fzotero.org%2Fusers%2F16717485%2Fitems%2FMNX66JZJ%22%5D%2C%22locator%22%3A%2214%22%7D%7D"&gt;„Strategies for holding the controller during annotation of the Omentum Model“&lt;/span&gt; &lt;span class="citation" data-citation="%7B%22citationItems%22%3A%5B%7B%22uris%22%3A%5B%22http%3A%2F%2Fzotero.org%2Fusers%2F16717485%2Fitems%2FMNX66JZJ%22%5D%2C%22locator%22%3A%2214%22%7D%5D%2C%22properties%22%3A%7B%7D%7D"&gt;(&lt;span class="citation-item"&gt;Elor et al., 2022, p. 14&lt;/span&gt;)&lt;/span&gt;&lt;/p&gt;&lt;p&gt;&lt;span class="highlight" data-annotation="%7B%22attachmentURI%22%3A%22http%3A%2F%2Fzotero.org%2Fusers%2F16717485%2Fitems%2FLTEG5XVQ%22%2C%22annotationKey%22%3A%22J4NKPGGP%22%2C%22color%22%3A%22%23ffd400%22%2C%22pageLabel%22%3A%2215%22%2C%22position%22%3A%7B%22pageIndex%22%3A14%2C%22rects%22%3A%5B%5B90.784%2C418.773%2C532.509%2C427.799%5D%2C%5B80.821%2C406.812%2C533.613%2C415.838%5D%2C%5B80.821%2C394.86%2C534.192%2C403.886%5D%2C%5B80.821%2C382.908%2C532.509%2C391.934%5D%2C%5B80.821%2C370.947%2C180.989%2C379.973%5D%5D%7D%2C%22citationItem%22%3A%7B%22uris%22%3A%5B%22http%3A%2F%2Fzotero.org%2Fusers%2F16717485%2Fitems%2FMNX66JZJ%22%5D%2C%22locator%22%3A%2215%22%7D%7D"&gt;„We utilize these mixed model parameters to explore measures relating to demographics that are influential in utilizing head-mounted displays (e.g., age, glasses-wearing), perceptual measures relating to experience (e.g., presence, usability), and functional measures (e.g., movement, control utilization) towards developing an understanding of the effects of BioLumin. Consequently, we found multiple significant predictors at 95% confidence of our dependent variables.“&lt;/span&gt; &lt;span class="citation" data-citation="%7B%22citationItems%22%3A%5B%7B%22uris%22%3A%5B%22http%3A%2F%2Fzotero.org%2Fusers%2F16717485%2Fitems%2FMNX66JZJ%22%5D%2C%22locator%22%3A%2215%22%7D%5D%2C%22properties%22%3A%7B%7D%7D"&gt;(&lt;span class="citation-item"&gt;Elor et al., 2022, p. 15&lt;/span&gt;)&lt;/span&gt;&lt;/p&gt;&lt;p&gt;&lt;span class="highlight" data-annotation="%7B%22attachmentURI%22%3A%22http%3A%2F%2Fzotero.org%2Fusers%2F16717485%2Fitems%2FLTEG5XVQ%22%2C%22annotationKey%22%3A%224QP7VJT3%22%2C%22color%22%3A%22%23ffd400%22%2C%22pageLabel%22%3A%2218%22%2C%22position%22%3A%7B%22pageIndex%22%3A17%2C%22rects%22%3A%5B%5B326.614%2C139.53%2C531.462%2C148.556%5D%2C%5B79.758%2C127.569%2C253.158%2C136.595%5D%5D%7D%2C%22citationItem%22%3A%7B%22uris%22%3A%5B%22http%3A%2F%2Fzotero.org%2Fusers%2F16717485%2Fitems%2FMNX66JZJ%22%5D%2C%22locator%22%3A%2218%22%7D%7D"&gt;„Our mixed model analysis revealed six significant predictors of usability, as shown in Table 6“&lt;/span&gt; &lt;span class="citation" data-citation="%7B%22citationItems%22%3A%5B%7B%22uris%22%3A%5B%22http%3A%2F%2Fzotero.org%2Fusers%2F16717485%2Fitems%2FMNX66JZJ%22%5D%2C%22locator%22%3A%2218%22%7D%5D%2C%22properties%22%3A%7B%7D%7D"&gt;(&lt;span class="citation-item"&gt;Elor et al., 2022, p. 18&lt;/span&gt;)&lt;/span&gt;&lt;/p&gt;&lt;p&gt;&lt;span class="highlight" data-annotation="%7B%22attachmentURI%22%3A%22http%3A%2F%2Fzotero.org%2Fusers%2F16717485%2Fitems%2FLTEG5XVQ%22%2C%22annotationKey%22%3A%22ZXIJJDV2%22%2C%22color%22%3A%22%23ffd400%22%2C%22pageLabel%22%3A%2224%22%2C%22position%22%3A%7B%22pageIndex%22%3A23%2C%22rects%22%3A%5B%5B79.461%2C561.433%2C531.63%2C570.459%5D%2C%5B79.758%2C549.472%2C116.321%2C558.498%5D%5D%7D%2C%22citationItem%22%3A%7B%22uris%22%3A%5B%22http%3A%2F%2Fzotero.org%2Fusers%2F16717485%2Fitems%2FMNX66JZJ%22%5D%2C%22locator%22%3A%2224%22%7D%7D"&gt;„Those who experienced the higher presence and explored the virtual environment more freely reported higher usability.“&lt;/span&gt; &lt;span class="citation" data-citation="%7B%22citationItems%22%3A%5B%7B%22uris%22%3A%5B%22http%3A%2F%2Fzotero.org%2Fusers%2F16717485%2Fitems%2FMNX66JZJ%22%5D%2C%22locator%22%3A%2224%22%7D%5D%2C%22properties%22%3A%7B%7D%7D"&gt;(&lt;span class="citation-item"&gt;Elor et al., 2022, p. 24&lt;/span&gt;)&lt;/span&gt;&lt;/p&gt; &lt;/div&gt;; &lt;p&gt;Export Date: 06 May 2025; Cited By: 2&lt;/p&gt;</t>
  </si>
  <si>
    <t>&lt;div data-citation-items="%5B%7B%22uris%22%3A%5B%22http%3A%2F%2Fzotero.org%2Fusers%2F16717485%2Fitems%2F45EZDBPC%22%5D%2C%22itemData%22%3A%7B%22id%22%3A%22http%3A%2F%2Fzotero.org%2Fusers%2F16717485%2Fitems%2F45EZDBPC%22%2C%22type%22%3A%22paper-conference%22%2C%22abstract%22%3A%22Augmented%20reality%20(AR)%20is%20a%20key%20technology%20to%20enhance%20worker%20effectiveness%20during%20increasing%20automation%20of%20repetitive%20jobs%20in%20the%20workplace.%20AR%20will%20achieve%20this%20by%20assisting%20the%20user%20to%20successfully%20perform%20complex%20and%20frequently%20changing%20procedures.%20The%20design%20of%20AR%20applications%20for%20these%20roles%20is%20critical%20to%20their%20acceptability%20and%20utility.%20User%20quality%20of%20experience%20(QoE)%20will%20inform%20these%20design%20decisions.%20A%20user%20arrives%20at%20a%20quality%20judgment%20upon%20post-experience%20reflection%20of%20their%20degree%20of%20delight%20or%20annoyance%20relating%20to%20the%20degree%20of%20fulfilment%20of%20pragmatic%20and%20hedonic%20needs%20and%20expectations%20of%20the%20medium%20under%20consideration.%20QoE%20researchers%20have%20largely%20depended%20upon%20post-experience%20subjective%20reports%20to%20determine%20the%20user's%20QoE.%20Subjective%20reports%20have%20been%20shown%20to%20be%20biased%20by%20primacy%2C%20recency%20and%20maxima%20of%20experience%20stimuli.%20Recent%20research%20involves%20the%20identification%20of%20implicit%20metrics%20that%20can%20be%20used%20to%20determine%20user%20QoE%20continuously%20during%20a%20multimedia%20experience.%20This%20work%20evaluates%20head%20rotation%20frequency%20as%20an%20objective%20metric%20of%20user%20QoE.%20The%20literature%20shows%20that%20emotion%20is%20expressed%20in%20the%20frequency%20of%20a%20person's%20head%20rotation%20around%20three%20axes%20of%20movement%20(pitch%2C%20yaw%20and%20roll).%20Low%20frequency%20head%20rotation%20has%20been%20shown%20to%20include%20expression%20of%20happy%20emotion%20while%20high%20frequency%20exclusively%20expresses%20anger%20emotion.%20These%20emotions%20are%20analogous%20to%20those%20reflected%20on%20by%20a%20user%20during%20the%20quality%20formation%20process.%20This%20demo%20paper%20analyses%20the%20amount%20of%20high%20frequency%20head%20rotation%20exhibited%20by%20the%20user%20upon%20task%20completion%20using%20an%20AR%20procedure%20assistance%20application%20or%20a%20paper-based%20control.%20An%20optimal%20Rubik's%20Cube%20solving%20AR%20application%20was%20used%20as%20a%20proof%20of%20concept%20for%20AR-based%20procedure%20assistance.%20Preliminary%20results%20showed%20that%20the%20AR%20environment%20yielded%20higher%20task%20success%20rates%20and%20significantly%20shorter%20task%20completion%20durations.%20The%20AR%20users%20exhibited%20significantly%20lower%20amplitudes%20of%20anger%20frequencies%20in%20their%20head%20rotations%20than%20the%20control%20group.%20%C2%A9%202020%20IEEE.%22%2C%22archive%22%3A%22Scopus%22%2C%22container-title%22%3A%22Int.%20Conf.%20Qual.%20Multimed.%20Exp.%2C%20QoMEX%22%2C%22DOI%22%3A%2210.1109%2FQoMEX48832.2020.9123097%22%2C%22event-title%22%3A%222020%2012th%20International%20Conference%20on%20Quality%20of%20Multimedia%20Experience%2C%20QoMEX%202020%22%2C%22ISBN%22%3A%22978-172815965-2%22%2C%22language%22%3A%22English%22%2C%22note%22%3A%22journalAbbreviation%3A%20Int.%20Conf.%20Qual.%20Multimed.%20Exp.%2C%20QoMEX%22%2C%22publisher%22%3A%22Institute%20of%20Electrical%20and%20Electronics%20Engineers%20Inc.%22%2C%22title%22%3A%22A%20QoE%20Evaluation%20of%20an%20Augmented%20Reality%20Procedure%20Assistance%20Application%22%2C%22URL%22%3A%22https%3A%2F%2Fwww.scopus.com%2Finward%2Frecord.uri%3Feid%3D2-s2.0-85087666173%26doi%3D10.1109%252fQoMEX48832.2020.9123097%26partnerID%3D40%26md5%3Db409a3bfc9b2f8eb5e36b4adb72a5dd6%22%2C%22author%22%3A%5B%7B%22family%22%3A%22Hynes%22%2C%22given%22%3A%22E.%22%7D%2C%7B%22family%22%3A%22Flynn%22%2C%22given%22%3A%22R.%22%7D%2C%7B%22family%22%3A%22Lee%22%2C%22given%22%3A%22B.%22%7D%2C%7B%22family%22%3A%22Murray%22%2C%22given%22%3A%22N.%22%7D%5D%2C%22issued%22%3A%7B%22date-parts%22%3A%5B%5B%222020%22%5D%5D%7D%7D%7D%5D" data-schema-version="9"&gt;&lt;h1&gt;Anmerkungen&lt;br/&gt;(16.6.2025, 06:37:04)&lt;/h1&gt; &lt;p&gt;&lt;span class="highlight" data-annotation="%7B%22attachmentURI%22%3A%22http%3A%2F%2Fzotero.org%2Fusers%2F16717485%2Fitems%2FFUYXFRZS%22%2C%22annotationKey%22%3A%229FRQIGYY%22%2C%22color%22%3A%22%23ffd400%22%2C%22pageLabel%22%3A%221%22%2C%22position%22%3A%7B%22pageIndex%22%3A0%2C%22rects%22%3A%5B%5B461.5%2C386.456%2C559.051%2C395.512%5D%2C%5B306.79%2C375.536%2C558.874%2C384.592%5D%2C%5B306.79%2C364.616%2C493.582%2C373.672%5D%5D%7D%2C%22citationItem%22%3A%7B%22uris%22%3A%5B%22http%3A%2F%2Fzotero.org%2Fusers%2F16717485%2Fitems%2F45EZDBPC%22%5D%2C%22locator%22%3A%221%22%7D%7D"&gt;„This work evaluates the emotion expressed in high frequency head rotation by the AR and control test subject’s upon task completion“&lt;/span&gt; &lt;span class="citation" data-citation="%7B%22citationItems%22%3A%5B%7B%22uris%22%3A%5B%22http%3A%2F%2Fzotero.org%2Fusers%2F16717485%2Fitems%2F45EZDBPC%22%5D%2C%22locator%22%3A%221%22%7D%5D%2C%22properties%22%3A%7B%7D%7D"&gt;(&lt;span class="citation-item"&gt;Hynes et al., 2020, p. 1&lt;/span&gt;)&lt;/span&gt;&lt;/p&gt;&lt;p&gt;&lt;span class="highlight" data-annotation="%7B%22attachmentURI%22%3A%22http%3A%2F%2Fzotero.org%2Fusers%2F16717485%2Fitems%2FFUYXFRZS%22%2C%22annotationKey%22%3A%22HV3QFM63%22%2C%22color%22%3A%22%23ffd400%22%2C%22pageLabel%22%3A%221%22%2C%22position%22%3A%7B%22pageIndex%22%3A0%2C%22rects%22%3A%5B%5B535.762%2C353.696%2C558.887%2C362.752%5D%2C%5B306.79%2C342.776%2C466.73%2C351.832%5D%5D%7D%2C%22citationItem%22%3A%7B%22uris%22%3A%5B%22http%3A%2F%2Fzotero.org%2Fusers%2F16717485%2Fitems%2F45EZDBPC%22%5D%2C%22locator%22%3A%221%22%7D%7D"&gt;„proxy for the degree of delight or annoyance“&lt;/span&gt; &lt;span class="citation" data-citation="%7B%22citationItems%22%3A%5B%7B%22uris%22%3A%5B%22http%3A%2F%2Fzotero.org%2Fusers%2F16717485%2Fitems%2F45EZDBPC%22%5D%2C%22locator%22%3A%221%22%7D%5D%2C%22properties%22%3A%7B%7D%7D"&gt;(&lt;span class="citation-item"&gt;Hynes et al., 2020, p. 1&lt;/span&gt;)&lt;/span&gt;&lt;/p&gt;&lt;p&gt;&lt;span class="highlight" data-annotation="%7B%22attachmentURI%22%3A%22http%3A%2F%2Fzotero.org%2Fusers%2F16717485%2Fitems%2FFUYXFRZS%22%2C%22annotationKey%22%3A%22P26PTRUM%22%2C%22color%22%3A%22%235fb236%22%2C%22pageLabel%22%3A%222%22%2C%22position%22%3A%7B%22pageIndex%22%3A1%2C%22rects%22%3A%5B%5B51.12%2C524.236%2C288.924%2C533.302%5D%2C%5B36.72%2C513.316%2C288.776%2C522.382%5D%2C%5B36.72%2C502.396%2C162.602%2C511.462%5D%5D%7D%2C%22citationItem%22%3A%7B%22uris%22%3A%5B%22http%3A%2F%2Fzotero.org%2Fusers%2F16717485%2Fitems%2F45EZDBPC%22%5D%2C%22locator%22%3A%222%22%7D%7D"&gt;„QoE is defined in [6] as “the degree of delight or annoyance of a person whose experiencing involves an application, service, or system”“&lt;/span&gt; &lt;span class="citation" data-citation="%7B%22citationItems%22%3A%5B%7B%22uris%22%3A%5B%22http%3A%2F%2Fzotero.org%2Fusers%2F16717485%2Fitems%2F45EZDBPC%22%5D%2C%22locator%22%3A%222%22%7D%5D%2C%22properties%22%3A%7B%7D%7D"&gt;(&lt;span class="citation-item"&gt;Hynes et al., 2020, p. 2&lt;/span&gt;)&lt;/span&gt;&lt;/p&gt;&lt;p&gt;&lt;span class="highlight" data-annotation="%7B%22attachmentURI%22%3A%22http%3A%2F%2Fzotero.org%2Fusers%2F16717485%2Fitems%2FFUYXFRZS%22%2C%22annotationKey%22%3A%22QZ3VZTBT%22%2C%22color%22%3A%22%23ffd400%22%2C%22pageLabel%22%3A%222%22%2C%22position%22%3A%7B%22pageIndex%22%3A1%2C%22rects%22%3A%5B%5B398.35%2C258.986%2C558.957%2C268.042%5D%2C%5B306.79%2C248.066%2C559.009%2C257.122%5D%2C%5B306.79%2C237.146%2C462.64%2C246.202%5D%5D%7D%2C%22citationItem%22%3A%7B%22uris%22%3A%5B%22http%3A%2F%2Fzotero.org%2Fusers%2F16717485%2Fitems%2F45EZDBPC%22%5D%2C%22locator%22%3A%222%22%7D%7D"&gt;„head rotation was estimated in radians using a desk mounted Logitech 1,080p video camera and the OpenFace facial recognition applicatio“&lt;/span&gt; &lt;span class="citation" data-citation="%7B%22citationItems%22%3A%5B%7B%22uris%22%3A%5B%22http%3A%2F%2Fzotero.org%2Fusers%2F16717485%2Fitems%2F45EZDBPC%22%5D%2C%22locator%22%3A%222%22%7D%5D%2C%22properties%22%3A%7B%7D%7D"&gt;(&lt;span class="citation-item"&gt;Hynes et al., 2020, p. 2&lt;/span&gt;)&lt;/span&gt;&lt;/p&gt;&lt;p&gt;&lt;span class="highlight" data-annotation="%7B%22attachmentURI%22%3A%22http%3A%2F%2Fzotero.org%2Fusers%2F16717485%2Fitems%2FFUYXFRZS%22%2C%22annotationKey%22%3A%22JGEYYP3C%22%2C%22color%22%3A%22%23ffd400%22%2C%22pageLabel%22%3A%222%22%2C%22position%22%3A%7B%22pageIndex%22%3A1%2C%22rects%22%3A%5B%5B493.06%2C237.146%2C558.866%2C246.202%5D%2C%5B306.79%2C226.226%2C559.029%2C235.282%5D%2C%5B306.79%2C215.306%2C556.461%2C224.362%5D%5D%7D%2C%22citationItem%22%3A%7B%22uris%22%3A%5B%22http%3A%2F%2Fzotero.org%2Fusers%2F16717485%2Fitems%2F45EZDBPC%22%5D%2C%22locator%22%3A%222%22%7D%7D"&gt;„An eight second duration [31] of post-task head rotation radians was used to evaluate the test subject’s emotional state at task completion“&lt;/span&gt; &lt;span class="citation" data-citation="%7B%22citationItems%22%3A%5B%7B%22uris%22%3A%5B%22http%3A%2F%2Fzotero.org%2Fusers%2F16717485%2Fitems%2F45EZDBPC%22%5D%2C%22locator%22%3A%222%22%7D%5D%2C%22properties%22%3A%7B%7D%7D"&gt;(&lt;span class="citation-item"&gt;Hynes et al., 2020, p. 2&lt;/span&gt;)&lt;/span&gt;&lt;/p&gt;&lt;p&gt;&lt;span class="highlight" data-annotation="%7B%22attachmentURI%22%3A%22http%3A%2F%2Fzotero.org%2Fusers%2F16717485%2Fitems%2FFUYXFRZS%22%2C%22annotationKey%22%3A%226CASDAQI%22%2C%22color%22%3A%22%23ffd400%22%2C%22pageLabel%22%3A%223%22%2C%22position%22%3A%7B%22pageIndex%22%3A2%2C%22rects%22%3A%5B%5B492.1%2C539.596%2C558.917%2C548.652%5D%2C%5B306.79%2C528.556%2C558.882%2C537.612%5D%2C%5B306.79%2C517.636%2C558.912%2C526.692%5D%2C%5B306.79%2C506.716%2C558.95%2C515.772%5D%2C%5B306.79%2C495.796%2C337.36%2C504.852%5D%5D%7D%2C%22citationItem%22%3A%7B%22uris%22%3A%5B%22http%3A%2F%2Fzotero.org%2Fusers%2F16717485%2Fitems%2F45EZDBPC%22%5D%2C%22locator%22%3A%223%22%7D%7D"&gt;„While the paperbased control group performed worse than the AR group they also expressed circa twice the mean amplitudes of anger emotion in their head rotation frequencies during a post task sample.“&lt;/span&gt; &lt;span class="citation" data-citation="%7B%22citationItems%22%3A%5B%7B%22uris%22%3A%5B%22http%3A%2F%2Fzotero.org%2Fusers%2F16717485%2Fitems%2F45EZDBPC%22%5D%2C%22locator%22%3A%223%22%7D%5D%2C%22properties%22%3A%7B%7D%7D"&gt;(&lt;span class="citation-item"&gt;Hynes et al., 2020, p. 3&lt;/span&gt;)&lt;/span&gt;&lt;/p&gt; &lt;/div&gt;; &lt;p&gt;Export Date: 06 May 2025; Cited By: 3; Conference name: 12th International Conference on Quality of Multimedia Experience, QoMEX 2020; Conference date: 26 May 2020 through 28 May 2020; Conference code: 161420&lt;/p&gt;</t>
  </si>
  <si>
    <t>&lt;p&gt;Export Date: 06 May 2025; Cited By: 20; Correspondence Address: V. Kuts; Department of Mechanical and Industrial Engineering, Tallinn University of Technology, Tallinn, 19086, Estonia; email: vladimir.kuts@taltech.ee&lt;/p&gt;</t>
  </si>
  <si>
    <t>&lt;div data-citation-items="%5B%7B%22uris%22%3A%5B%22http%3A%2F%2Fzotero.org%2Fusers%2F16717485%2Fitems%2FEAG9NZIQ%22%5D%2C%22itemData%22%3A%7B%22id%22%3A%22http%3A%2F%2Fzotero.org%2Fusers%2F16717485%2Fitems%2FEAG9NZIQ%22%2C%22type%22%3A%22paper-conference%22%2C%22abstract%22%3A%22In%20human-agent%20interaction%2C%20one%20key%20challenge%20is%20the%20evaluation%20of%20the%20user%E2%80%99s%20experience.%20In%20the%20virtual%20reality%20domain%2C%20the%20sense%20of%20presence%20and%20co-presence%2C%20reflecting%20the%20psychological%20immersion%20of%20the%20user%2C%20is%20generally%20assessed%20through%20well-grounded%20subjective%20post-experience%20questionnaires.%20In%20this%20article%2C%20we%20aim%20at%20presenting%20a%20new%20way%20to%20automatically%20predict%20the%20sense%20of%20presence%20and%20co-presence%20of%20a%20user%20at%20the%20end%20of%20an%20interaction%20based%20on%20specific%20verbal%20and%20non-verbal%20behavioral%20cues%20automatically%20computed.%20A%20random%20forest%20algorithm%20has%20been%20applied%20on%20a%20human-agent%20interaction%20corpus%20collected%20in%20the%20specific%20context%20of%20a%20virtual%20environment%20developed%20to%20train%20doctors%20to%20break%20bad%20news%20to%20a%20virtual%20patient.%20The%20performance%20of%20the%20models%20demonstrate%20the%20capacity%20to%20automatically%20and%20accurately%20predict%20the%20level%20of%20presence%20and%20copresence%2C%20but%20also%20show%20the%20relevancy%20of%20the%20verbal%20and%20non-verbal%20behavioral%20cues%20as%20objective%20measures%20of%20presence.%20%C2%A9%202018%20Association%20for%20Computing%20Machinery.%22%2C%22archive%22%3A%22Scopus%22%2C%22container-title%22%3A%22HAI%20-%20Proc.%20Int.%20Conf.%20Hum.-Agent%20Interact.%22%2C%22DOI%22%3A%2210.1145%2F3284432.3284452%22%2C%22event-title%22%3A%22HAI%202018%20-%20Proceedings%20of%20the%206th%20International%20Conference%20on%20Human-Agent%20Interaction%22%2C%22ISBN%22%3A%22978-145035953-5%22%2C%22language%22%3A%22English%22%2C%22note%22%3A%22journalAbbreviation%3A%20HAI%20-%20Proc.%20Int.%20Conf.%20Hum.-Agent%20Interact.%22%2C%22page%22%3A%22161-166%22%2C%22publisher%22%3A%22Association%20for%20Computing%20Machinery%2C%20Inc%22%2C%22title%22%3A%22Toward%20an%20automatic%20prediction%20of%20the%20sense%20of%20presence%20in%20virtual%20reality%20environment%22%2C%22URL%22%3A%22https%3A%2F%2Fwww.scopus.com%2Finward%2Frecord.uri%3Feid%3D2-s2.0-85060733796%26doi%3D10.1145%252f3284432.3284452%26partnerID%3D40%26md5%3D3c20b46d8ad4929396c3dbf4dfd1d432%22%2C%22author%22%3A%5B%7B%22family%22%3A%22Ochs%22%2C%22given%22%3A%22M.%22%7D%2C%7B%22family%22%3A%22Jain%22%2C%22given%22%3A%22S.%22%7D%2C%7B%22family%22%3A%22Pergandi%22%2C%22given%22%3A%22J.-M.%22%7D%2C%7B%22family%22%3A%22Blache%22%2C%22given%22%3A%22P.%22%7D%5D%2C%22issued%22%3A%7B%22date-parts%22%3A%5B%5B%222018%22%5D%5D%7D%7D%7D%5D" data-schema-version="9"&gt;&lt;p&gt;Allgemein ist das hier ein duplukat bzw. die Grundlage zum paper Multimodal Behavioral Cues Analysis of the Sense of Presence and Social Presence During a Social Interaction With a Virtual Patient&lt;/p&gt; &lt;p&gt;aber hier wird nur ein ML Algorithmus benutzt später verschiedene daher zähle ich es als ein eigenes automatisiertes analysieren&lt;/p&gt; &lt;p&gt;&lt;/p&gt; &lt;p&gt;&lt;/p&gt; &lt;p&gt;&lt;span class="highlight" data-annotation="%7B%22attachmentURI%22%3A%22http%3A%2F%2Fzotero.org%2Fusers%2F16717485%2Fitems%2FILFRG3RQ%22%2C%22pageLabel%22%3A%22161%22%2C%22position%22%3A%7B%22pageIndex%22%3A0%2C%22rects%22%3A%5B%5B327.918%2C507.34992200000005%2C558.1880122799997%2C515.293798%5D%2C%5B317.955%2C496.39092200000005%2C558.193620232%2C504.33479800000003%5D%2C%5B317.955%2C485.43192200000004%2C558.1916178800003%2C493.37579800000003%5D%2C%5B317.955%2C474.47292200000004%2C436.12688%2C482.41679800000003%5D%5D%7D%2C%22citationItem%22%3A%7B%22uris%22%3A%5B%22http%3A%2F%2Fzotero.org%2Fusers%2F16717485%2Fitems%2FEAG9NZIQ%22%5D%2C%22locator%22%3A%22161%22%7D%7D"&gt;„Different questionaires exist to evaluate the sense of presence and co-presence (as for example in [1]). One main limits of these methods if the subjectivity of the approach consisting in asking the users to self-report their feeling.“&lt;/span&gt; &lt;span class="citation" data-citation="%7B%22citationItems%22%3A%5B%7B%22uris%22%3A%5B%22http%3A%2F%2Fzotero.org%2Fusers%2F16717485%2Fitems%2FEAG9NZIQ%22%5D%2C%22locator%22%3A%22161%22%7D%5D%2C%22properties%22%3A%7B%7D%7D"&gt;(&lt;span class="citation-item"&gt;Ochs et al., 2018, p. 161&lt;/span&gt;)&lt;/span&gt;&lt;/p&gt; &lt;p&gt;&lt;/p&gt; &lt;p&gt;&lt;span class="highlight" data-annotation="%7B%22attachmentURI%22%3A%22http%3A%2F%2Fzotero.org%2Fusers%2F16717485%2Fitems%2FILFRG3RQ%22%2C%22pageLabel%22%3A%22162%22%2C%22position%22%3A%7B%22pageIndex%22%3A1%2C%22rects%22%3A%5B%5B317.686%2C527.416922%2C558.1950049600002%2C535.3607979999999%5D%2C%5B317.955%2C516.457922%2C559.7046841760001%2C524.401798%5D%2C%5B317.955%2C505.49892200000005%2C559.1811056400003%2C513.442798%5D%2C%5B317.955%2C494.53992200000005%2C558.1919528820001%2C502.48379800000004%5D%2C%5B317.955%2C483.58092200000004%2C351.9720040000001%2C491.52479800000003%5D%5D%7D%2C%22citationItem%22%3A%7B%22uris%22%3A%5B%22http%3A%2F%2Fzotero.org%2Fusers%2F16717485%2Fitems%2FEAG9NZIQ%22%5D%2C%22locator%22%3A%22162%22%7D%7D"&gt;„Three types of objective measures of presence can be distinguished : behavioral (e.g. attention), performance-based (e.g. user’s performance in task realization) and physiological (e.g. brain activity, heart rate) [13]. In this article, we focus on behavioral measures of presence.“&lt;/span&gt; &lt;span class="citation" data-citation="%7B%22citationItems%22%3A%5B%7B%22uris%22%3A%5B%22http%3A%2F%2Fzotero.org%2Fusers%2F16717485%2Fitems%2FEAG9NZIQ%22%5D%2C%22locator%22%3A%22162%22%7D%5D%2C%22properties%22%3A%7B%7D%7D"&gt;(&lt;span class="citation-item"&gt;Ochs et al., 2018, p. 162&lt;/span&gt;)&lt;/span&gt;&lt;/p&gt; &lt;/div&gt;; &lt;p&gt;Export Date: 06 May 2025; Cited By: 22; Conference name: 6th International Conference on Human-Agent Interaction, HAI 2018; Conference date: 15 December 2018 through 18 December 2018; Conference code: 143554&lt;/p&gt;</t>
  </si>
  <si>
    <t>&lt;p&gt;Export Date: 06 May 2025; Cited By: 34; Conference name: 9th Biennial ACM Symposium on Eye Tracking Research and Applications, ETRA 2016; Conference date: 14 March 2016 through 17 March 2016; Conference code: 120083&lt;/p&gt;</t>
  </si>
  <si>
    <t>&lt;p&gt;Export Date: 06 May 2025; Cited By: 3; Conference name: 24th International Conference on Computer-Aided Architectural Design Research in Asia: Intelligent and Informed, CAADRIA 2019; Conference date: 15 April 2019 through 18 April 2019; Conference code: 147572&lt;/p&gt;</t>
  </si>
  <si>
    <t>&lt;p&gt;Export Date: 06 May 2025; Cited By: 38; Correspondence Address: P. Harms; Institute of Computer Science, University of Goettingen, Goettingen, Lower Saxony, Goldschmidtstraße 7, 37077, Germany; email: patrick.harms@cs.uni-goettingen.de&lt;/p&gt;</t>
  </si>
  <si>
    <t>Automated usability evaluation; Automation; Behavioral research; Forestry; Fully automated; Novel applications; Task tree; task tree generation; Task tree generation; Usability engineering; Usability evaluation methods; usability smell detection; Usability smell detection; User behaviors; User efficiencies; virtual reality; Virtual reality; VR applications</t>
  </si>
  <si>
    <t>WXWH4A47</t>
  </si>
  <si>
    <t>Human-Centered Software Engineering: 9th IFIP WG 13.2 International Working Conference, HCSE 2022, Eindhoven, The Netherlands, August 24–26, 2022, Proceedings</t>
  </si>
  <si>
    <t>978-3-031-14784-5</t>
  </si>
  <si>
    <t>10.1007/978-3-031-14785-2_9</t>
  </si>
  <si>
    <t>https://doi.org/10.1007/978-3-031-14785-2_9</t>
  </si>
  <si>
    <t>User-centered design (UCD) is a continuous product development process where user feedback shapes the final product. An initial product design is iteratively refined until it provides a satisfying user experience (UX). Applying this iterative process to the development of Virtual Reality (VR) applications using traditional evaluation techniques such as questionnaires and interviews following UX testing is time-consuming. Active feedback from the users needs to be manually evaluated before it can be reflected in the subsequent refinements. In this work, we propose a framework to speed up the UCD process of VR applications by utilizing automated UX evaluation. We demonstrate it on the UCD of a VR-assisted robot programming interface. We conduct a UX study with 14 participants and report that we achieve a final design that provides a better UX, which evolved in short iteration cycles.</t>
  </si>
  <si>
    <t>140–149</t>
  </si>
  <si>
    <t>event-place: Eindhoven, The Netherlands</t>
  </si>
  <si>
    <t>&lt;p&gt;Export Date: 06 May 2025; Cited By: 1; Correspondence Address: E. Yigitbas; Software Innovation Campus Paderborn, Paderborn University, Paderborn, Germany; email: enes.yigitbas@uni-paderborn.de; Conference name: 9th IFIP WG 13.2 International Working Conference on Human-Centered Software Engineering, HCSE 2022; Conference date: 24 August 2022 through 26 August 2022; Conference code: 282219&lt;/p&gt;</t>
  </si>
  <si>
    <t>Virtual Reality; Virtual reality; Users' experiences; User centered design; Iterative methods; Active feedback; Automated user experience evaluation; Iterative process; Product design; Product development process; Robot programming; Speed up; Surveys; User experience evaluations; User feedback; User need; User-centered design; Virtual reality interfaces</t>
  </si>
  <si>
    <t>&lt;p&gt;Export Date: 06 May 2025; Cited By: 0; Correspondence Address: N. Nishiuchi; Graduate School of Systems Design, Tokyo Metropolitan University, Tokyo, 191-0065, Japan; email: nnishiuc@tmu.ac.jp&lt;/p&gt;</t>
  </si>
  <si>
    <t>&lt;p&gt;Export Date: 06 May 2025; Cited By: 6; Conference name: 37th IEEE/ACM International Conference on Automated Software Engineering, ASE 2022; Conference date: 10 October 2022 through 14 October 2022; Conference code: 186042&lt;/p&gt;; &lt;div data-citation-items="%5B%7B%22uris%22%3A%5B%22http%3A%2F%2Fzotero.org%2Fusers%2F16717485%2Fitems%2FILA4NDI5%22%5D%2C%22itemData%22%3A%7B%22id%22%3A%22http%3A%2F%2Fzotero.org%2Fusers%2F16717485%2Fitems%2FILA4NDI5%22%2C%22type%22%3A%22paper-conference%22%2C%22abstract%22%3A%22While%20the%20emerging%20Augmented%20Reality%20(AR)%20technique%20allows%20a%20lot%20of%20new%20application%20opportunities%2C%20from%20education%20and%20communication%20to%20gaming%2C%20current%20augmented%20apps%20often%20have%20complaints%20about%20their%20usability%20and%2For%20user%20experience%20due%20to%20placement%20errors%20of%20virtual%20objects.%20Therefore%2C%20identifying%20noticeable%20placement%20errors%20is%20an%20important%20goal%20in%20the%20testing%20of%20AR%20apps.%20However%2C%20placement%20errors%20can%20only%20be%20perceived%20by%20human%20beings%20and%20may%20need%20to%20be%20confirmed%20by%20multiple%20users%2C%20making%20automatic%20testing%20very%20challenging.%20In%20this%20paper%2C%20we%20propose%20PredART%2C%20a%20novel%20approach%20to%20predict%20human%20ratings%20of%20virtual%20object%20placements%20that%20can%20be%20used%20as%20test%20oracles%20in%20automated%20AR%20testing.%20PredART%20is%20based%20on%20automatic%20screenshot%20sampling%2C%20crowd%20sourcing%2C%20and%20a%20hybrid%20neural%20network%20for%20image%20regression.%20The%20evaluation%20on%20a%20test%20set%20of%20480%20screenshots%20shows%20that%20our%20approach%20can%20achieve%20an%20accuracy%20of%2085.0%25%20and%20a%20mean%20absolute%20error%2C%20mean%20squared%20error%2C%20and%20root%20mean%20squared%20error%20of%200.047%2C%200.008%2C%20and%200.091%2C%20respectively.%22%2C%22collection-title%22%3A%22ASE%20'22%22%2C%22container-title%22%3A%22Proceedings%20of%20the%2037th%20IEEE%2FACM%20International%20Conference%20on%20Automated%20Software%20Engineering%22%2C%22DOI%22%3A%2210.1145%2F3551349.3561160%22%2C%22event-place%22%3A%22New%20York%2C%20NY%2C%20USA%22%2C%22ISBN%22%3A%22978-1-4503-9475-8%22%2C%22note%22%3A%22event-place%3A%20Rochester%2C%20MI%2C%20USA%22%2C%22publisher%22%3A%22Association%20for%20Computing%20Machinery%22%2C%22publisher-place%22%3A%22New%20York%2C%20NY%2C%20USA%22%2C%22title%22%3A%22PredART%3A%20Towards%20Automatic%20Oracle%20Prediction%20of%20Object%20Placements%20in%20Augmented%20Reality%20Testing%22%2C%22URL%22%3A%22https%3A%2F%2Fdoi.org%2F10.1145%2F3551349.3561160%22%2C%22author%22%3A%5B%7B%22family%22%3A%22Rafi%22%2C%22given%22%3A%22Tahmid%22%7D%2C%7B%22family%22%3A%22Zhang%22%2C%22given%22%3A%22Xueling%22%7D%2C%7B%22family%22%3A%22Wang%22%2C%22given%22%3A%22Xiaoyin%22%7D%5D%2C%22issued%22%3A%7B%22date-parts%22%3A%5B%5B%222023%22%5D%5D%7D%7D%7D%5D" data-schema-version="9"&gt;&lt;p&gt;Include weil realism ein großer Teil der UX ist (auch in VR)&lt;/p&gt; &lt;p&gt;aber grenzwertig da keine direkte connection to usability established wird und ein klassisches Problem der AR mit ML automatisiert wird&lt;/p&gt; &lt;p&gt;&lt;/p&gt; &lt;p&gt;&lt;/p&gt; &lt;p&gt;&lt;/p&gt; &lt;h1&gt;Anmerkungen&lt;br&gt;(1.9.2025, 13:28:40)&lt;/h1&gt; &lt;p&gt;&lt;span class="highlight" data-annotation="%7B%22attachmentURI%22%3A%22http%3A%2F%2Fzotero.org%2Fusers%2F16717485%2Fitems%2F2C3B8YBJ%22%2C%22annotationKey%22%3A%22Y83576SR%22%2C%22color%22%3A%22%235fb236%22%2C%22pageLabel%22%3A%222%22%2C%22position%22%3A%7B%22pageIndex%22%3A1%2C%22rects%22%3A%5B%5B184.344%2C225.029%2C294.047%2C232.973%5D%2C%5B53.798%2C214.07%2C230.343%2C222.014%5D%5D%7D%2C%22citationItem%22%3A%7B%22uris%22%3A%5B%22http%3A%2F%2Fzotero.org%2Fusers%2F16717485%2Fitems%2FILA4NDI5%22%5D%2C%22locator%22%3A%222%22%7D%7D"&gt;„Our research process follows the general practice of design science [24] [59].“&lt;/span&gt; &lt;span class="citation" data-citation="%7B%22citationItems%22%3A%5B%7B%22uris%22%3A%5B%22http%3A%2F%2Fzotero.org%2Fusers%2F16717485%2Fitems%2FILA4NDI5%22%5D%2C%22locator%22%3A%222%22%7D%5D%2C%22properties%22%3A%7B%7D%7D"&gt;(&lt;span class="citation-item"&gt;Rafi et al., 2023, p. 2&lt;/span&gt;)&lt;/span&gt;&lt;/p&gt; &lt;/div&gt;</t>
  </si>
  <si>
    <t>&lt;div data-citation-items="%5B%7B%22uris%22%3A%5B%22http%3A%2F%2Fzotero.org%2Fusers%2F16717485%2Fitems%2FFMP3FK3F%22%5D%2C%22itemData%22%3A%7B%22id%22%3A%22http%3A%2F%2Fzotero.org%2Fusers%2F16717485%2Fitems%2FFMP3FK3F%22%2C%22type%22%3A%22article-journal%22%2C%22container-title%22%3A%22Robotics%20and%20Computer-Integrated%20Manufacturing%22%2C%22DOI%22%3A%2210.1016%2Fj.rcim.2023.102544%22%2C%22ISSN%22%3A%220736-5845%22%2C%22issue%22%3A%22C%22%2C%22journalAbbreviation%22%3A%22Rob%20Comput%20Integr%20Manuf%22%2C%22note%22%3A%22publisher-place%3A%20USA%5Cnpublisher%3A%20Pergamon%20Press%2C%20Inc.%22%2C%22title%22%3A%22Towards%20seamless%20collaboration%20of%20humans%20and%20high-payload%20robots%3A%20An%20automotive%20case%20study%22%2C%22URL%22%3A%22https%3A%2F%2Fdoi.org%2F10.1016%2Fj.rcim.2023.102544%22%2C%22volume%22%3A%2283%22%2C%22author%22%3A%5B%7B%22family%22%3A%22Andronas%22%2C%22given%22%3A%22Dionisis%22%7D%2C%7B%22family%22%3A%22Kampourakis%22%2C%22given%22%3A%22Emmanouil%22%7D%2C%7B%22family%22%3A%22Papadopoulos%22%2C%22given%22%3A%22Giorgos%22%7D%2C%7B%22family%22%3A%22Bakopoulou%22%2C%22given%22%3A%22Katerina%22%7D%2C%7B%22family%22%3A%22Kotsaris%22%2C%22given%22%3A%22Panagiotis%20Stylianos%22%7D%2C%7B%22family%22%3A%22Michalos%22%2C%22given%22%3A%22George%22%7D%2C%7B%22family%22%3A%22Makris%22%2C%22given%22%3A%22Sotiris%22%7D%5D%2C%22issued%22%3A%7B%22date-parts%22%3A%5B%5B%222023%22%2C10%5D%5D%7D%7D%7D%5D" data-schema-version="9"&gt;&lt;p&gt;Es ist AR mit HMD und hat gesture control daher nicht so nah an VR aber dafür ergonomics check der nennenswert ist&lt;/p&gt; &lt;p&gt;&lt;/p&gt; &lt;h1&gt;Anmerkungen&lt;br&gt;(4.9.2025, 08:44:14)&lt;/h1&gt; &lt;p&gt;&lt;span class="highlight" data-annotation="%7B%22attachmentURI%22%3A%22http%3A%2F%2Fzotero.org%2Fusers%2F16717485%2Fitems%2F8CRNQCIM%22%2C%22annotationKey%22%3A%22QY2X75A5%22%2C%22color%22%3A%22%232ea8e5%22%2C%22pageLabel%22%3A%2211%22%2C%22position%22%3A%7B%22pageIndex%22%3A10%2C%22rects%22%3A%5B%5B318.784%2C344.762%2C397.622%2C353.612%5D%5D%7D%2C%22citationItem%22%3A%7B%22uris%22%3A%5B%22http%3A%2F%2Fzotero.org%2Fusers%2F16717485%2Fitems%2FFMP3FK3F%22%5D%2C%22locator%22%3A%2211%22%7D%7D"&gt;„Results &amp;amp; discussion“&lt;/span&gt; &lt;span class="citation" data-citation="%7B%22citationItems%22%3A%5B%7B%22uris%22%3A%5B%22http%3A%2F%2Fzotero.org%2Fusers%2F16717485%2Fitems%2FFMP3FK3F%22%5D%2C%22locator%22%3A%2211%22%7D%5D%2C%22properties%22%3A%7B%7D%7D"&gt;(&lt;span class="citation-item"&gt;Andronas et al., 2023, p. 11&lt;/span&gt;)&lt;/span&gt;&lt;/p&gt; &lt;p&gt;&lt;span class="highlight" data-annotation="%7B%22attachmentURI%22%3A%22http%3A%2F%2Fzotero.org%2Fusers%2F16717485%2Fitems%2F8CRNQCIM%22%2C%22annotationKey%22%3A%22H45LHYU6%22%2C%22color%22%3A%22%23ffd400%22%2C%22pageLabel%22%3A%2211%22%2C%22position%22%3A%7B%22pageIndex%22%3A10%2C%22rects%22%3A%5B%5B352.005%2C271.515%2C557.687%2C280.366%5D%2C%5B306.595%2C261.084%2C468.496%2C269.935%5D%5D%7D%2C%22citationItem%22%3A%7B%22uris%22%3A%5B%22http%3A%2F%2Fzotero.org%2Fusers%2F16717485%2Fitems%2FFMP3FK3F%22%5D%2C%22locator%22%3A%2211%22%7D%7D"&gt;„b) an analytical ergonomic evaluation of human activities, and c) an assessment of the system’s usability“&lt;/span&gt; &lt;span class="citation" data-citation="%7B%22citationItems%22%3A%5B%7B%22uris%22%3A%5B%22http%3A%2F%2Fzotero.org%2Fusers%2F16717485%2Fitems%2FFMP3FK3F%22%5D%2C%22locator%22%3A%2211%22%7D%5D%2C%22properties%22%3A%7B%7D%7D"&gt;(&lt;span class="citation-item"&gt;Andronas et al., 2023, p. 11&lt;/span&gt;)&lt;/span&gt;&lt;/p&gt; &lt;p&gt;&lt;span class="highlight" data-annotation="%7B%22attachmentURI%22%3A%22http%3A%2F%2Fzotero.org%2Fusers%2F16717485%2Fitems%2F8CRNQCIM%22%2C%22annotationKey%22%3A%22KL8G5JXI%22%2C%22color%22%3A%22%23ffd400%22%2C%22pageLabel%22%3A%2212%22%2C%22position%22%3A%7B%22pageIndex%22%3A11%2C%22rects%22%3A%5B%5B70.582%2C362.623%2C288.646%2C371.473%5D%2C%5B37.587%2C352.134%2C155.923%2C360.985%5D%5D%7D%2C%22citationItem%22%3A%7B%22uris%22%3A%5B%22http%3A%2F%2Fzotero.org%2Fusers%2F16717485%2Fitems%2FFMP3FK3F%22%5D%2C%22locator%22%3A%2212%22%7D%7D"&gt;„quantifying the levels of discomfort and any risk of injury or long-term musculoskeletal issues“&lt;/span&gt; &lt;span class="citation" data-citation="%7B%22citationItems%22%3A%5B%7B%22uris%22%3A%5B%22http%3A%2F%2Fzotero.org%2Fusers%2F16717485%2Fitems%2FFMP3FK3F%22%5D%2C%22locator%22%3A%2212%22%7D%5D%2C%22properties%22%3A%7B%7D%7D"&gt;(&lt;span class="citation-item"&gt;Andronas et al., 2023, p. 12&lt;/span&gt;)&lt;/span&gt;&lt;/p&gt; &lt;p&gt;&lt;span class="highlight" data-annotation="%7B%22attachmentURI%22%3A%22http%3A%2F%2Fzotero.org%2Fusers%2F16717485%2Fitems%2F8CRNQCIM%22%2C%22annotationKey%22%3A%22769766R4%22%2C%22color%22%3A%22%23ffd400%22%2C%22pageLabel%22%3A%2212%22%2C%22position%22%3A%7B%22pageIndex%22%3A11%2C%22rects%22%3A%5B%5B49.549%2C257.968%2C288.664%2C266.819%5D%2C%5B37.587%2C247.537%2C288.674%2C256.388%5D%2C%5B37.587%2C237.049%2C288.687%2C245.9%5D%2C%5B37.587%2C226.618%2C288.687%2C235.468%5D%2C%5B37.587%2C216.129%2C156.086%2C224.98%5D%5D%7D%2C%22citationItem%22%3A%7B%22uris%22%3A%5B%22http%3A%2F%2Fzotero.org%2Fusers%2F16717485%2Fitems%2FFMP3FK3F%22%5D%2C%22locator%22%3A%2212%22%7D%7D"&gt;„Focusing on the evaluation, AAWS [47] generates a score that sums: a) a postural score, resulting from human’s postures and their time-related impact on the whole cycle, b) an action forces score, resulting from loads on human limbs, and c) a material handling score, resulting for object manipulation.“&lt;/span&gt; &lt;span class="citation" data-citation="%7B%22citationItems%22%3A%5B%7B%22uris%22%3A%5B%22http%3A%2F%2Fzotero.org%2Fusers%2F16717485%2Fitems%2FFMP3FK3F%22%5D%2C%22locator%22%3A%2212%22%7D%5D%2C%22properties%22%3A%7B%7D%7D"&gt;(&lt;span class="citation-item"&gt;Andronas et al., 2023, p. 12&lt;/span&gt;)&lt;/span&gt;&lt;/p&gt; &lt;/div&gt;; &lt;p&gt;Export Date: 06 May 2025; Cited By: 21; Correspondence Address: S. Makris; Laboratory for Manufacturing Systems &amp; Automation, University of Patras, Rion Patras, 26504, Greece; email: makris@lms.mech.upatras.gr; CODEN: RCIME&lt;/p&gt;</t>
  </si>
  <si>
    <t>&lt;p&gt;Export Date: 06 May 2025; Cited By: 58; Correspondence Address: P. Dickinson; School of Computer Science, University of Lincoln, Lincoln, United Kingdom; email: pdickinson@lincoln.ac.uk&lt;/p&gt;</t>
  </si>
  <si>
    <t>Virtual reality; Behavioral research; User experience; Video analysis; Human computer interaction; Affective state; Agent density; Crowd simulation; Crowd Simulation; Negative affects; Real-world scenario; Simulation model; User behaviour</t>
  </si>
  <si>
    <t>&lt;p&gt;Export Date: 06 May 2025; Cited By: 13; Correspondence Address: S. Kim; Gwangju Institute of Science and Technology, Gwangju, South Korea; email: seungjun@gist.ac.kr&lt;/p&gt;</t>
  </si>
  <si>
    <t>&lt;div data-citation-items="%5B%7B%22uris%22%3A%5B%22http%3A%2F%2Fzotero.org%2Fusers%2F16717485%2Fitems%2FIDTU5H7Q%22%5D%2C%22itemData%22%3A%7B%22id%22%3A%22http%3A%2F%2Fzotero.org%2Fusers%2F16717485%2Fitems%2FIDTU5H7Q%22%2C%22type%22%3A%22paper-conference%22%2C%22abstract%22%3A%22In%20this%20paper%2C%20we%20present%20the%20results%20of%20the%20%5C%223PI%20Experiment%5C%22%20project.%20The%20objective%20of%20this%20project%20is%20to%20propose%20and%20evaluate%20an%20immersive%20interface%20based%20on%20a%20third-person%20view%20from%20a%20video%20camera%2C%20that%20can%20be%20used%20in%20augmented%20reality%20games.%20Since%20this%20type%20of%20interface%20has%20not%20been%20explored%20in%20games%2C%20a%20prototype%20involving%20interaction%20through%20navigation%20was%20developed%20and%20employed%20to%20assess%20the%20impact%20of%20the%20proposed%20interface%20on%20gameplay%20experience.%20Different%20user%20interface%20evaluation%20methods%20such%20as%20cognitive%20walkthroughs%2C%20automatic%20data%20collection%20and%20questionnaires%20were%20combined.%20It%20was%20possible%20to%20determine%20that%20the%20proposed%20interface%20caused%20no%20significant%20discomfort%20and%20had%20a%20short%20learning%20time%2C%20making%20it%20suitable%20for%20use%20in%20games.%22%2C%22collection-title%22%3A%22Sandbox%20'10%22%2C%22container-title%22%3A%22Proceedings%20of%20the%205th%20ACM%20SIGGRAPH%20Symposium%20on%20Video%20Games%22%2C%22DOI%22%3A%2210.1145%2F1836135.1836142%22%2C%22event-place%22%3A%22New%20York%2C%20NY%2C%20USA%22%2C%22ISBN%22%3A%22978-1-4503-0097-1%22%2C%22note%22%3A%22event-place%3A%20Los%20Angeles%2C%20California%22%2C%22page%22%3A%2243%E2%80%9348%22%2C%22publisher%22%3A%22Association%20for%20Computing%20Machinery%22%2C%22publisher-place%22%3A%22New%20York%2C%20NY%2C%20USA%22%2C%22title%22%3A%223PI%20experiment%3A%20immersion%20in%20third-person%20view%22%2C%22URL%22%3A%22https%3A%2F%2Fdoi.org%2F10.1145%2F1836135.1836142%22%2C%22author%22%3A%5B%7B%22family%22%3A%22Nakamura%22%2C%22given%22%3A%22Ricardo%22%7D%2C%7B%22family%22%3A%22Lago%22%2C%22given%22%3A%22Lucas%20L.%20M.%22%7D%2C%7B%22family%22%3A%22Carneiro%22%2C%22given%22%3A%22Alexandre%20B.%22%7D%2C%7B%22family%22%3A%22Cunha%22%2C%22given%22%3A%22Anderson%20J.%20C.%22%7D%2C%7B%22family%22%3A%22Ortega%22%2C%22given%22%3A%22F%C3%A1bio%20J.%20M.%22%7D%2C%7B%22family%22%3A%22Bernardes%22%2C%22given%22%3A%22Jo%C3%A3o%20L.%22%7D%2C%7B%22family%22%3A%22Tori%22%2C%22given%22%3A%22Romero%22%7D%5D%2C%22issued%22%3A%7B%22date-parts%22%3A%5B%5B%222010%22%5D%5D%7D%7D%7D%5D" data-schema-version="9"&gt;&lt;h1&gt;Anmerkungen&lt;br/&gt;(11.6.2025, 23:33:57)&lt;/h1&gt; &lt;p&gt;&lt;span class="highlight" data-annotation="%7B%22attachmentURI%22%3A%22http%3A%2F%2Fzotero.org%2Fusers%2F16717485%2Fitems%2F6ARIPIFX%22%2C%22annotationKey%22%3A%229S3JLVKZ%22%2C%22color%22%3A%22%23ffd400%22%2C%22pageLabel%22%3A%2245%22%2C%22position%22%3A%7B%22pageIndex%22%3A2%2C%22rects%22%3A%5B%5B54%2C109.914%2C294.048%2C117.688%5D%2C%5B54%2C99.951%2C294.048%2C107.725%5D%2C%5B54%2C89.988%2C294.048%2C97.762%5D%5D%7D%2C%22citationItem%22%3A%7B%22uris%22%3A%5B%22http%3A%2F%2Fzotero.org%2Fusers%2F16717485%2Fitems%2FIDTU5H7Q%22%5D%2C%22locator%22%3A%2245%22%7D%7D"&gt;„Three different evaluation methods were adopted: cognitive walkthroughs [Polson et al. 1992], indirect observation through automated data recording and formal evaluation through questionnaires.“&lt;/span&gt; &lt;span class="citation" data-citation="%7B%22citationItems%22%3A%5B%7B%22uris%22%3A%5B%22http%3A%2F%2Fzotero.org%2Fusers%2F16717485%2Fitems%2FIDTU5H7Q%22%5D%2C%22locator%22%3A%2245%22%7D%5D%2C%22properties%22%3A%7B%7D%7D"&gt;(&lt;span class="citation-item"&gt;Nakamura et al., 2010, p. 45&lt;/span&gt;)&lt;/span&gt;&lt;/p&gt;&lt;p&gt;&lt;span class="highlight" data-annotation="%7B%22attachmentURI%22%3A%22http%3A%2F%2Fzotero.org%2Fusers%2F16717485%2Fitems%2F6ARIPIFX%22%2C%22annotationKey%22%3A%22CSAEHMBD%22%2C%22color%22%3A%22%23ffd400%22%2C%22pageLabel%22%3A%2245%22%2C%22position%22%3A%7B%22pageIndex%22%3A2%2C%22rects%22%3A%5B%5B317.955%2C385.081%2C558.003%2C392.855%5D%2C%5B317.955%2C375.118%2C558.003%2C382.892%5D%2C%5B317.955%2C365.156%2C558.003%2C372.93%5D%2C%5B317.955%2C355.193%2C558.003%2C362.967%5D%2C%5B317.955%2C345.23%2C558.003%2C353.004%5D%2C%5B317.955%2C335.268%2C558.003%2C343.042%5D%2C%5B317.955%2C325.305%2C405.422%2C333.079%5D%5D%7D%2C%22citationItem%22%3A%7B%22uris%22%3A%5B%22http%3A%2F%2Fzotero.org%2Fusers%2F16717485%2Fitems%2FIDTU5H7Q%22%5D%2C%22locator%22%3A%2245%22%7D%7D"&gt;„While the subjects were playing the game on the keyboardcontrolled and on the immersive game, the software recorded the delay between the steps taken by the user inside the game. This system is similar to the tools for Tracking Real-time User Experience (TRUE) [Kim et al. 2008] to get quantitative information from user experience. The analysis of these session logs consisted in the third evaluation method.“&lt;/span&gt; &lt;span class="citation" data-citation="%7B%22citationItems%22%3A%5B%7B%22uris%22%3A%5B%22http%3A%2F%2Fzotero.org%2Fusers%2F16717485%2Fitems%2FIDTU5H7Q%22%5D%2C%22locator%22%3A%2245%22%7D%5D%2C%22properties%22%3A%7B%7D%7D"&gt;(&lt;span class="citation-item"&gt;Nakamura et al., 2010, p. 45&lt;/span&gt;)&lt;/span&gt;&lt;/p&gt;&lt;p&gt;&lt;span class="highlight" data-annotation="%7B%22attachmentURI%22%3A%22http%3A%2F%2Fzotero.org%2Fusers%2F16717485%2Fitems%2F6ARIPIFX%22%2C%22annotationKey%22%3A%22MS8AP8DA%22%2C%22color%22%3A%22%23ffd400%22%2C%22pageLabel%22%3A%2245%22%2C%22position%22%3A%7B%22pageIndex%22%3A2%2C%22rects%22%3A%5B%5B494.037%2C109.914%2C558.003%2C117.688%5D%2C%5B317.955%2C99.951%2C558.003%2C107.725%5D%2C%5B317.955%2C89.988%2C558.003%2C97.762%5D%2C%5B317.955%2C80.026%2C558.003%2C87.8%5D%2C%5B317.955%2C70.063%2C379.465%2C77.837%5D%5D%7D%2C%22citationItem%22%3A%7B%22uris%22%3A%5B%22http%3A%2F%2Fzotero.org%2Fusers%2F16717485%2Fitems%2FIDTU5H7Q%22%5D%2C%22locator%22%3A%2245%22%7D%7D"&gt;„we analyzed several variables: knowledge of computers, familiarity with immersive interfaces, familiarity with third-person view 3D games, time between decisions (steps) in the game, and the qualitative answers of the questionnaire“&lt;/span&gt; &lt;span class="citation" data-citation="%7B%22citationItems%22%3A%5B%7B%22uris%22%3A%5B%22http%3A%2F%2Fzotero.org%2Fusers%2F16717485%2Fitems%2FIDTU5H7Q%22%5D%2C%22locator%22%3A%2245%22%7D%5D%2C%22properties%22%3A%7B%7D%7D"&gt;(&lt;span class="citation-item"&gt;Nakamura et al., 2010, p. 45&lt;/span&gt;)&lt;/span&gt;&lt;/p&gt;&lt;p&gt;&lt;span class="highlight" data-annotation="%7B%22attachmentURI%22%3A%22http%3A%2F%2Fzotero.org%2Fusers%2F16717485%2Fitems%2F6ARIPIFX%22%2C%22annotationKey%22%3A%22UCVLKSRC%22%2C%22color%22%3A%22%235fb236%22%2C%22pageLabel%22%3A%2246%22%2C%22position%22%3A%7B%22pageIndex%22%3A3%2C%22rects%22%3A%5B%5B317.955%2C522.614%2C558.003%2C530.388%5D%2C%5B317.955%2C512.652%2C558.003%2C520.426%5D%2C%5B317.955%2C502.689%2C338.623%2C510.463%5D%5D%7D%2C%22citationItem%22%3A%7B%22uris%22%3A%5B%22http%3A%2F%2Fzotero.org%2Fusers%2F16717485%2Fitems%2FIDTU5H7Q%22%5D%2C%22locator%22%3A%2246%22%7D%7D"&gt;„The times between each step, both in the PC and the immersive version of the game, were collected for only eight of the forty seven users,“&lt;/span&gt; &lt;span class="citation" data-citation="%7B%22citationItems%22%3A%5B%7B%22uris%22%3A%5B%22http%3A%2F%2Fzotero.org%2Fusers%2F16717485%2Fitems%2FIDTU5H7Q%22%5D%2C%22locator%22%3A%2246%22%7D%5D%2C%22properties%22%3A%7B%7D%7D"&gt;(&lt;span class="citation-item"&gt;Nakamura et al., 2010, p. 46&lt;/span&gt;)&lt;/span&gt;&lt;/p&gt; &lt;/div&gt;; &lt;p&gt;Export Date: 06 May 2025; Cited By: 6; Correspondence Address: R. Nakamura; Universidade de São Paulo, Brazil; email: ricardo.nakamura@poli.usp.br; Conference name: 5th ACM SIGGRAPH Symposium on Video Games, Sandbox 2010; Conference date: 28 July 2010 through 29 July 2010; Conference code: 81599&lt;/p&gt;</t>
  </si>
  <si>
    <t>&lt;div data-schema-version="9"&gt;&lt;p&gt;Usability evaluation continuum &lt;/p&gt; &lt;/div&gt;</t>
  </si>
  <si>
    <t>&lt;p&gt;Export Date: 06 May 2025; Cited By: 6; Conference name: 2024 Mensch und Computer, MuC 2024; Conference date: 1 September 2024 through 4 September 2024; Conference code: 202032&lt;/p&gt;</t>
  </si>
  <si>
    <t>&lt;p&gt;Export Date: 06 May 2025; Cited By: 4; Correspondence Address: R. Prada; Univ. de Lisboa, INESC-ID, Instituto Superior Tècnico, Portugal; email: rui.prada@tecnico.ulisboa.pt; Conference name: 13th IEEE International Conference on Software Testing, Verification and Validation, ICST 2020; Conference date: 23 March 2020 through 27 March 2020; Conference code: 162307&lt;/p&gt;</t>
  </si>
  <si>
    <t>Saba Gholizadeh Ansari</t>
  </si>
  <si>
    <t>&lt;p&gt;Export Date: 06 May 2025; Cited By: 8; Correspondence Address: S.G. Ansari; Utrecht University, Dept. Information and Computing Sciences, Netherlands; email: s.gholizadehansari@uu.nl; Conference name: 13th IEEE International Conference on Software Testing, Verification and Validation, ICST 2020; Conference date: 23 March 2020 through 27 March 2020; Conference code: 162307&lt;/p&gt;</t>
  </si>
  <si>
    <t>&lt;div data-citation-items="%5B%7B%22uris%22%3A%5B%22http%3A%2F%2Fzotero.org%2Fusers%2F16717485%2Fitems%2FWBUZ3SQ5%22%5D%2C%22itemData%22%3A%7B%22id%22%3A%22http%3A%2F%2Fzotero.org%2Fusers%2F16717485%2Fitems%2FWBUZ3SQ5%22%2C%22type%22%3A%22paper-conference%22%2C%22container-title%22%3A%222023%20IEEE%20International%20Symposium%20on%20Mixed%20and%20Augmented%20Reality%20(ISMAR)%22%2C%22DOI%22%3A%2210.1109%2FISMAR59233.2023.00063%22%2C%22event-place%22%3A%22Sydney%2C%20Australia%22%2C%22event-title%22%3A%222023%20IEEE%20International%20Symposium%20on%20Mixed%20and%20Augmented%20Reality%20(ISMAR)%22%2C%22ISBN%22%3A%22979-8-3503-2838-7%22%2C%22page%22%3A%22483-492%22%2C%22publisher%22%3A%22IEEE%22%2C%22publisher-place%22%3A%22Sydney%2C%20Australia%22%2C%22source%22%3A%22DOI.org%20(Crossref)%22%2C%22title%22%3A%22%E2%80%9CIf%20It%E2%80%99s%20Not%20Me%20It%20Doesn%E2%80%99t%20Make%20a%20Difference%E2%80%9D%20-%20The%20Impact%20of%20Avatar%20Personalization%20on%20user%20Experience%20and%20Body%20Awareness%20in%20Virtual%20Reality%22%2C%22URL%22%3A%22https%3A%2F%2Fieeexplore.ieee.org%2Fdocument%2F10316447%2F%22%2C%22author%22%3A%5B%7B%22family%22%3A%22D%C3%B6llinger%22%2C%22given%22%3A%22Nina%22%7D%2C%7B%22family%22%3A%22Beck%22%2C%22given%22%3A%22Matthias%22%7D%2C%7B%22family%22%3A%22Wolf%22%2C%22given%22%3A%22Erik%22%7D%2C%7B%22family%22%3A%22Mal%22%2C%22given%22%3A%22David%22%7D%2C%7B%22family%22%3A%22Botsch%22%2C%22given%22%3A%22Mario%22%7D%2C%7B%22family%22%3A%22Latoschik%22%2C%22given%22%3A%22Marc%20Erich%22%7D%2C%7B%22family%22%3A%22Wienrich%22%2C%22given%22%3A%22Carolin%22%7D%5D%2C%22accessed%22%3A%7B%22date-parts%22%3A%5B%5B%222025%22%2C5%2C6%5D%5D%7D%2C%22issued%22%3A%7B%22date-parts%22%3A%5B%5B%222023%22%2C10%2C16%5D%5D%7D%7D%7D%5D" data-schema-version="9"&gt;&lt;h1&gt;Anmerkungen&lt;br/&gt;(12.6.2025, 10:24:31)&lt;/h1&gt; &lt;p&gt;&lt;span class="highlight" data-annotation="%7B%22attachmentURI%22%3A%22http%3A%2F%2Fzotero.org%2Fusers%2F16717485%2Fitems%2FEVB7ZX4B%22%2C%22annotationKey%22%3A%22J7B2WFP7%22%2C%22color%22%3A%22%235fb236%22%2C%22pageLabel%22%3A%22485%22%2C%22position%22%3A%7B%22pageIndex%22%3A2%2C%22rects%22%3A%5B%5B404.386%2C691.709%2C534.6%2C699.904%5D%5D%7D%2C%22citationItem%22%3A%7B%22uris%22%3A%5B%22http%3A%2F%2Fzotero.org%2Fusers%2F16717485%2Fitems%2FWBUZ3SQ5%22%5D%2C%22locator%22%3A%22485%22%7D%7D"&gt;„A total of 86 participants remained.“&lt;/span&gt; &lt;span class="citation" data-citation="%7B%22citationItems%22%3A%5B%7B%22uris%22%3A%5B%22http%3A%2F%2Fzotero.org%2Fusers%2F16717485%2Fitems%2FWBUZ3SQ5%22%5D%2C%22locator%22%3A%22485%22%7D%5D%2C%22properties%22%3A%7B%7D%7D"&gt;(&lt;span class="citation-item"&gt;Döllinger et al., 2023, p. 485&lt;/span&gt;)&lt;/span&gt;&lt;/p&gt;&lt;p&gt;&lt;span class="highlight" data-annotation="%7B%22attachmentURI%22%3A%22http%3A%2F%2Fzotero.org%2Fusers%2F16717485%2Fitems%2FEVB7ZX4B%22%2C%22annotationKey%22%3A%22YT4I6BCW%22%2C%22color%22%3A%22%232ea8e5%22%2C%22pageLabel%22%3A%22486%22%2C%22position%22%3A%7B%22pageIndex%22%3A3%2C%22rects%22%3A%5B%5B63.026%2C274.881%2C123.946%2C284.146%5D%5D%7D%2C%22citationItem%22%3A%7B%22uris%22%3A%5B%22http%3A%2F%2Fzotero.org%2Fusers%2F16717485%2Fitems%2FWBUZ3SQ5%22%5D%2C%22locator%22%3A%22486%22%7D%7D"&gt;„3.4 Measures“&lt;/span&gt; &lt;span class="citation" data-citation="%7B%22citationItems%22%3A%5B%7B%22uris%22%3A%5B%22http%3A%2F%2Fzotero.org%2Fusers%2F16717485%2Fitems%2FWBUZ3SQ5%22%5D%2C%22locator%22%3A%22486%22%7D%5D%2C%22properties%22%3A%7B%7D%7D"&gt;(&lt;span class="citation-item"&gt;Döllinger et al., 2023, p. 486&lt;/span&gt;)&lt;/span&gt;&lt;/p&gt;&lt;p&gt;&lt;span class="highlight" data-annotation="%7B%22attachmentURI%22%3A%22http%3A%2F%2Fzotero.org%2Fusers%2F16717485%2Fitems%2FEVB7ZX4B%22%2C%22annotationKey%22%3A%228IACNEF2%22%2C%22color%22%3A%22%23ffd400%22%2C%22pageLabel%22%3A%22486%22%2C%22position%22%3A%7B%22pageIndex%22%3A3%2C%22rects%22%3A%5B%5B323.866%2C652.389%2C548.535%2C660.583%5D%2C%5B314.203%2C642.724%2C547.399%2C650.918%5D%2C%5B314.203%2C633.059%2C547.239%2C641.254%5D%2C%5B314.203%2C623.394%2C547.097%2C631.589%5D%2C%5B314.2%2C613.725%2C547.094%2C621.92%5D%2C%5B314.2%2C604.059%2C547.094%2C612.254%5D%2C%5B314.2%2C594.394%2C547.103%2C602.589%5D%2C%5B314.2%2C584.728%2C548.557%2C592.922%5D%2C%5B314.2%2C575.062%2C547.094%2C583.256%5D%2C%5B314.2%2C565.397%2C547.089%2C573.591%5D%2C%5B314.2%2C555.73%2C496.997%2C563.925%5D%5D%7D%2C%22citationItem%22%3A%7B%22uris%22%3A%5B%22http%3A%2F%2Fzotero.org%2Fusers%2F16717485%2Fitems%2FWBUZ3SQ5%22%5D%2C%22locator%22%3A%22486%22%7D%7D"&gt;„In addition, we assessed interoceptive accuracy via a heartbeatcounting task (HCT) [62] using the instructions presented by Desmedt et al. [14]. Participants sat on a chair while resting their arms on the armrest. We instructed them to count their heartbeats over a trial of 45 sec. We calculated an interoceptive accuracy score by dividing the absolute difference between counted and actual heartbeats by the actual heartbeats, resulting in a percentual score between 0 and 1, with higher numbers indicating higher interoceptive accuracy. As we had some technical issues during heartbeat tracking, the results on HCT are reduced to N = 77 participants (n = 27 generic, n = 27 customized, n = 23 personalized).“&lt;/span&gt; &lt;span class="citation" data-citation="%7B%22citationItems%22%3A%5B%7B%22uris%22%3A%5B%22http%3A%2F%2Fzotero.org%2Fusers%2F16717485%2Fitems%2FWBUZ3SQ5%22%5D%2C%22locator%22%3A%22486%22%7D%5D%2C%22properties%22%3A%7B%7D%7D"&gt;(&lt;span class="citation-item"&gt;Döllinger et al., 2023, p. 486&lt;/span&gt;)&lt;/span&gt;&lt;/p&gt; &lt;/div&gt;</t>
  </si>
  <si>
    <t>sense of presence</t>
  </si>
  <si>
    <t>DNN multimodal inputs to provide sense of presence, as IPQ prediction</t>
  </si>
  <si>
    <t>facial expression, head movement, hand movement, scene captures</t>
  </si>
  <si>
    <t>AR Simulator Unity MARS, also eigentlich virtual environment wie das andere paper kritisiert</t>
  </si>
  <si>
    <t>Questionnaires as extension for subjective measuremsts</t>
  </si>
  <si>
    <t>heart rate, gaze as accuraccy measure</t>
  </si>
  <si>
    <t>Heart Rate and Calculations, heart rate at the start and end of  a scenario and is counted as physical effort, rest is objective performance measure</t>
  </si>
  <si>
    <t>heart rate als physical effort, Accuracy, Operation Speed, Error Proneness als objective mearsures</t>
  </si>
  <si>
    <t>not mentioned</t>
  </si>
  <si>
    <t>no study</t>
  </si>
  <si>
    <t>general UX, evoked emotions, learnability</t>
  </si>
  <si>
    <t>anxiety or stress through increased heart rate</t>
  </si>
  <si>
    <t>sentiments, interaction patterns</t>
  </si>
  <si>
    <t>UX Test Case generation, agent behaviour with different emotional preferences and relevant emotional states</t>
  </si>
  <si>
    <t>5 different Usability Smells</t>
  </si>
  <si>
    <t>4 different Usability Smells: Important tasks, Required Inefficient actions, High interaction distance, Task retried</t>
  </si>
  <si>
    <t>dimension_presence</t>
  </si>
  <si>
    <t>x</t>
  </si>
  <si>
    <t>dimension_flow</t>
  </si>
  <si>
    <t>dimension_generalUX</t>
  </si>
  <si>
    <t>dimension_interactability</t>
  </si>
  <si>
    <t>dimension_learnability</t>
  </si>
  <si>
    <t>dimension_emotions</t>
  </si>
  <si>
    <t>dimension_general_usability</t>
  </si>
  <si>
    <t>dimension_usability_smells</t>
  </si>
  <si>
    <t>dimension_stress</t>
  </si>
  <si>
    <t>dimension_ease_of_use</t>
  </si>
  <si>
    <t>dimension_attention</t>
  </si>
  <si>
    <t>Visual Attention, Viewing distance</t>
  </si>
  <si>
    <t>dimension_behaviour</t>
  </si>
  <si>
    <t>dimension_comfort</t>
  </si>
  <si>
    <t>dimension_UI</t>
  </si>
  <si>
    <t>dimension_cognitive_load</t>
  </si>
  <si>
    <t>dimension_engagement</t>
  </si>
  <si>
    <t>Behavioral Strategies for System Usage, Engagement, Usability</t>
  </si>
  <si>
    <t>dimension_area_of_interest</t>
  </si>
  <si>
    <t>dimension_realism</t>
  </si>
  <si>
    <t>dimension_anxiety</t>
  </si>
  <si>
    <t>dimension_sentiment</t>
  </si>
  <si>
    <t>dimension_physiological_arousal</t>
  </si>
  <si>
    <t>navigational problems, presence, workload and flow, Emotions</t>
  </si>
  <si>
    <t>QoE through emotions delight or annoyance</t>
  </si>
  <si>
    <t>dimension_physical_effort</t>
  </si>
  <si>
    <t>measurement_heart_rate</t>
  </si>
  <si>
    <t>measurement_decision_time</t>
  </si>
  <si>
    <t>measurement_hand_movement</t>
  </si>
  <si>
    <t>measurement_facial_expression</t>
  </si>
  <si>
    <t>measurement_head_movement</t>
  </si>
  <si>
    <t>measurement_scene_capture</t>
  </si>
  <si>
    <t>measurement_events</t>
  </si>
  <si>
    <t>measurement_EEG</t>
  </si>
  <si>
    <t>measurement_body_temperature</t>
  </si>
  <si>
    <t>measurement_speech</t>
  </si>
  <si>
    <t>measurement_walking_speed</t>
  </si>
  <si>
    <t>Eye tracking for gaze, Head Orientation</t>
  </si>
  <si>
    <t>measurement_gaze</t>
  </si>
  <si>
    <t>measurement_pupil</t>
  </si>
  <si>
    <t>measurement_body_tracking</t>
  </si>
  <si>
    <t>eye and pupil data Pupil Diameter, Pupil Hippus, head movement and movement data</t>
  </si>
  <si>
    <t>measurement_movement</t>
  </si>
  <si>
    <t>no measurement</t>
  </si>
  <si>
    <t>measurement_respiration</t>
  </si>
  <si>
    <t>measurement_EMG</t>
  </si>
  <si>
    <t>measurement_EDA</t>
  </si>
  <si>
    <t>hand load, muscle tension, hand and head</t>
  </si>
  <si>
    <t>measurement_pressure_load</t>
  </si>
  <si>
    <t>Ergonomics analysis through the sum of postural score, action forces score, material handling score in a simulation environment</t>
  </si>
  <si>
    <t>questionnaires, comments, interactions</t>
  </si>
  <si>
    <t>36, 86 human-agent interactions, HMD, PC, CAVE</t>
  </si>
  <si>
    <t>method_agent</t>
  </si>
  <si>
    <t>control_measurement</t>
  </si>
  <si>
    <t>control_dimension</t>
  </si>
  <si>
    <t>method_AutoQUEST</t>
  </si>
  <si>
    <t>method_automated_measurement</t>
  </si>
  <si>
    <t>method_automated_generation</t>
  </si>
  <si>
    <t>AR App for Evaluators that can be used to enhance studies provides speech to text as speech bubble, bio marker and gesstures  of nearby participants, no other automation than dispolaying the data</t>
  </si>
  <si>
    <t>method_visualization</t>
  </si>
  <si>
    <t>method_machine_learning</t>
  </si>
  <si>
    <t>measurement_none</t>
  </si>
  <si>
    <t>andronasSeamlessCollaborationHumans2023</t>
  </si>
  <si>
    <t>bianFrameworkPhysiologicalIndicators2016</t>
  </si>
  <si>
    <t>biriczUserFriendlyVirtual2022</t>
  </si>
  <si>
    <t>bozgeyikliExploringHorizontallyFlipped2023</t>
  </si>
  <si>
    <t>cannavoEvaluationTestbedLocomotion2021</t>
  </si>
  <si>
    <t>cheEventBasedUserExperience2019</t>
  </si>
  <si>
    <t>dickinsonVirtualRealityCrowd2019</t>
  </si>
  <si>
    <t>dollingerIfItsNot2023</t>
  </si>
  <si>
    <t>dzardanovaExploringImpactNonverbal2024</t>
  </si>
  <si>
    <t>elorBioLuminImmersiveMixed2022</t>
  </si>
  <si>
    <t>harmsAutomatedUsabilityEvaluation2019</t>
  </si>
  <si>
    <t>heAmTheaterUsability2018</t>
  </si>
  <si>
    <t>houDevelopingVirtualReality2017</t>
  </si>
  <si>
    <t>hynesEvaluationLowerFacial2020</t>
  </si>
  <si>
    <t>hynesQoEEvaluationAugmented2020</t>
  </si>
  <si>
    <t>jamboVirtualRealitySystem2024</t>
  </si>
  <si>
    <t>kaminskaUsabilityTestingVirtual2022</t>
  </si>
  <si>
    <t>karakayaAutomatedUXEvaluation2022</t>
  </si>
  <si>
    <t>kimWhatWhenExplain2023</t>
  </si>
  <si>
    <t>kujurNeurophysiologicalUXEvaluation2023</t>
  </si>
  <si>
    <t>kutsDigitalTwinIndustrial2022</t>
  </si>
  <si>
    <t>longMultimodalDetectionExternal2024</t>
  </si>
  <si>
    <t>nakamura3PIExperimentImmersion2010</t>
  </si>
  <si>
    <t>ochsAutomaticPredictionSense2018</t>
  </si>
  <si>
    <t>ochsMultimodalBehavioralCues2022</t>
  </si>
  <si>
    <t>oneyVisualGazeLabeling2023</t>
  </si>
  <si>
    <t>pannatteeDeepLearningFramework2025</t>
  </si>
  <si>
    <t>pavanattoWeStillNeed2021</t>
  </si>
  <si>
    <t>pfeifferEyeSee3D20Modelbased2016</t>
  </si>
  <si>
    <t>pradaAgentbasedTestingExtended2020</t>
  </si>
  <si>
    <t>rafiPredARTAutomaticOracle2023</t>
  </si>
  <si>
    <t>ramosEnhancingAutomotiveUsability2025</t>
  </si>
  <si>
    <t>sabagholizadehansariAutomatedAssessmentUser2020</t>
  </si>
  <si>
    <t>salageanUtilitarianVirtualSelf2024</t>
  </si>
  <si>
    <t>seffahLowcostTestEnvironment2008</t>
  </si>
  <si>
    <t>sreenivasanExoskeletonAssistedStanceKneeling2025</t>
  </si>
  <si>
    <t>sriRevolutionizingUserExperience2024</t>
  </si>
  <si>
    <t>stefanidiARgusDesignerSupporting2022</t>
  </si>
  <si>
    <t>volonteEffectsInteractingCrowd2020</t>
  </si>
  <si>
    <t>wangNewMirror2019</t>
  </si>
  <si>
    <t>winterImmersiveVirtualReality2021</t>
  </si>
  <si>
    <t>yangUvmodeUsabilityVerification2008</t>
  </si>
  <si>
    <t>Citationkey</t>
  </si>
  <si>
    <t>for-fulltext, no access</t>
  </si>
  <si>
    <t>for-fulltext</t>
  </si>
  <si>
    <t>only questionnaires</t>
  </si>
  <si>
    <t>only questionnaires + interviews</t>
  </si>
  <si>
    <t>no AR/VR</t>
  </si>
  <si>
    <t>head movement, but no usability</t>
  </si>
  <si>
    <t>heart rate skeleton</t>
  </si>
  <si>
    <t>no access, abstract irrelevant</t>
  </si>
  <si>
    <t>no access, abstract unclear</t>
  </si>
  <si>
    <t>no access, no full paper</t>
  </si>
  <si>
    <t>no access, book</t>
  </si>
  <si>
    <t>not in english</t>
  </si>
  <si>
    <t>only heuristics</t>
  </si>
  <si>
    <t>no full paper</t>
  </si>
  <si>
    <t>automation unclear, read fulltext</t>
  </si>
  <si>
    <t>usability evaluation unclear, read fulltext</t>
  </si>
  <si>
    <t>RULA score as part of the application</t>
  </si>
  <si>
    <t>only interviews</t>
  </si>
  <si>
    <t>no evaluation, only methods for AR playtests</t>
  </si>
  <si>
    <t>mathematical analysis</t>
  </si>
  <si>
    <t>no automation</t>
  </si>
  <si>
    <t>no automation, heuristics</t>
  </si>
  <si>
    <t>no evaluation</t>
  </si>
  <si>
    <t>Notes Full Text Screening</t>
  </si>
  <si>
    <t>Notes Abstract Screening</t>
  </si>
  <si>
    <t>no XR</t>
  </si>
  <si>
    <t>multimodal UX NN</t>
  </si>
  <si>
    <t>Methodology Notes</t>
  </si>
  <si>
    <t xml:space="preserve">Usability Dimension Notes </t>
  </si>
  <si>
    <t>none</t>
  </si>
  <si>
    <t>36 and 14</t>
  </si>
  <si>
    <t>logging unity, video anlysis</t>
  </si>
  <si>
    <t>Extraction Notes</t>
  </si>
  <si>
    <t>time tracking with step count</t>
  </si>
  <si>
    <t>no automated usability evaluation</t>
  </si>
  <si>
    <t>no usability evaluation</t>
  </si>
  <si>
    <t>only questionnaires, face tracking as action-trigger</t>
  </si>
  <si>
    <t xml:space="preserve">only questionnaires, but everything online: participant recruiting, game distribution, questionnaire, interview </t>
  </si>
  <si>
    <t>AR not HMD, no automation</t>
  </si>
  <si>
    <t>no XR, Eye Tracking</t>
  </si>
  <si>
    <t>smartphone AR, only heuristics</t>
  </si>
  <si>
    <t>smartphone AR, only questionnaires</t>
  </si>
  <si>
    <t>no automation, PC and CAVE with Controller</t>
  </si>
  <si>
    <t>literature review only</t>
  </si>
  <si>
    <t>no automation for subjective measurements</t>
  </si>
  <si>
    <t>no usability evaluation, no VR</t>
  </si>
  <si>
    <t>no automation, but the systematic use, derivation, and evaluation of heuristics</t>
  </si>
  <si>
    <t>no XR, physical environment with eye tracking as preparation for use in AR</t>
  </si>
  <si>
    <t>no fully immersive VR</t>
  </si>
  <si>
    <t>no automation, but developed a questionnaire for formative evaluation</t>
  </si>
  <si>
    <t>only handheld AR, no HMD</t>
  </si>
  <si>
    <t>smartphone App</t>
  </si>
  <si>
    <t>no automated usability evaluation, logging mechanism implemented but no usability relation mentioned</t>
  </si>
  <si>
    <t>only heuristics, no automation and not transferable</t>
  </si>
  <si>
    <t>duplicate, A framework for physiological indicators of flow in VR games: construction and preliminary evaluation</t>
  </si>
  <si>
    <t>duplicate, a short, older version of: Multimodal Behavioral Cues Analysis of the Sense of Presence and Social Presence During a Social Interaction With a Virtual Patient</t>
  </si>
  <si>
    <t>agent based, but only introductionof technique</t>
  </si>
  <si>
    <t>A lot of automated measurement, but primarily for the exoskeleton</t>
  </si>
  <si>
    <t>Multimodal ML model trained on presence</t>
  </si>
  <si>
    <t>experimental classification of attention as usability factor</t>
  </si>
  <si>
    <t>EEG and GSR for UX factors</t>
  </si>
  <si>
    <t>read again for final extraction</t>
  </si>
  <si>
    <t>Many ideas and analyses based on machine learning, but no properly documented user study</t>
  </si>
  <si>
    <t>A foundation for “Multimodal Behavioral Cues Analysis of the Sense of Presence and Social Presence During a Social Interaction With a Virtual Patient,” which uses more algorithms</t>
  </si>
  <si>
    <t>Not usability, but user experience, influenced by crowd density</t>
  </si>
  <si>
    <t>Much of it is AR-specific, but some aspects can be applied to VR; the VR portion is automated, while the rest focuses primarily on the AR concept</t>
  </si>
  <si>
    <t xml:space="preserve"> </t>
  </si>
  <si>
    <t>phd announcement using ’BDI’ agents framework, intelligent agents are deployed into the XR system to generate tests based on given UX test specifications.</t>
  </si>
  <si>
    <t>NLP for textual comments and satisfaction in surveys, Clustering of similar User Patterns</t>
  </si>
  <si>
    <t>Full-Body Tracking of sensors and head + controller tracking</t>
  </si>
  <si>
    <t>Heart rate was measured but not correlated with usability</t>
  </si>
  <si>
    <t>Heart Rate as the Only “Usability” Factor</t>
  </si>
  <si>
    <t>Measurement Notes</t>
  </si>
  <si>
    <t>Not Really Automation of Usability: With “Questionnaire: Self-Presence and Environmental Presence”</t>
  </si>
  <si>
    <t>Hand Distance (HD): distance that the virtual hand is moved to complete a test, used as efficiency metric</t>
  </si>
  <si>
    <t>SUS without correlation</t>
  </si>
  <si>
    <t>multiple questionnaires</t>
  </si>
  <si>
    <t>Questionnaire, but without extensive correlation tests</t>
  </si>
  <si>
    <t>None; two VR app interactions were compared with Autoquest</t>
  </si>
  <si>
    <t>only introduction of technique</t>
  </si>
  <si>
    <t>Heart Rate as only "usability" factor</t>
  </si>
  <si>
    <t>Heart rate was measured but not related to usability; walking speed was considered only as a variable of effectiveness for rehabilitation and as a source of distraction for participants</t>
  </si>
  <si>
    <t>NLP for textual comments and satisfaction in surveys, Clustering of similar User Patterns, no mention of measurements only data set for training</t>
  </si>
  <si>
    <t>36 and 14, VR (semi und full immersive VR)</t>
  </si>
  <si>
    <t>VR (CAVE and full immersive VR)</t>
  </si>
  <si>
    <t>heart rate and walking speed</t>
  </si>
  <si>
    <t>Automated generation of training data; no measurements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</si>
</sst>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u/>
      <sz val="12"/>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diagonal/>
    </border>
    <border>
      <left style="thin">
        <color indexed="64"/>
      </left>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15">
    <xf numFmtId="0" fontId="0" fillId="0" borderId="0" xfId="0"/>
    <xf numFmtId="22" fontId="0" fillId="0" borderId="0" xfId="0" applyNumberFormat="1"/>
    <xf numFmtId="14" fontId="0" fillId="0" borderId="0" xfId="0" applyNumberFormat="1"/>
    <xf numFmtId="16" fontId="0" fillId="0" borderId="0" xfId="0" applyNumberFormat="1"/>
    <xf numFmtId="17" fontId="0" fillId="0" borderId="0" xfId="0" applyNumberFormat="1"/>
    <xf numFmtId="11" fontId="0" fillId="0" borderId="0" xfId="0" applyNumberFormat="1"/>
    <xf numFmtId="0" fontId="18" fillId="0" borderId="0" xfId="0" applyFont="1"/>
    <xf numFmtId="0" fontId="18" fillId="0" borderId="10" xfId="0" applyFont="1" applyBorder="1"/>
    <xf numFmtId="9" fontId="0" fillId="0" borderId="0" xfId="0" applyNumberFormat="1"/>
    <xf numFmtId="0" fontId="0" fillId="0" borderId="11" xfId="0" applyBorder="1"/>
    <xf numFmtId="0" fontId="18" fillId="0" borderId="11" xfId="0" applyFont="1" applyBorder="1"/>
    <xf numFmtId="49" fontId="0" fillId="0" borderId="0" xfId="0" applyNumberFormat="1"/>
    <xf numFmtId="49" fontId="18" fillId="0" borderId="0" xfId="0" applyNumberFormat="1" applyFont="1"/>
    <xf numFmtId="2" fontId="0" fillId="0" borderId="0" xfId="0" applyNumberFormat="1"/>
    <xf numFmtId="0" fontId="19" fillId="0" borderId="0" xfId="42"/>
  </cellXfs>
  <cellStyles count="43">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Link" xfId="42" builtinId="8"/>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Usability</a:t>
            </a:r>
            <a:r>
              <a:rPr lang="de-DE" baseline="0"/>
              <a:t> Dimensions</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spPr>
            <a:solidFill>
              <a:schemeClr val="accent1"/>
            </a:solidFill>
            <a:ln>
              <a:noFill/>
            </a:ln>
            <a:effectLst/>
          </c:spPr>
          <c:invertIfNegative val="0"/>
          <c:cat>
            <c:strRef>
              <c:f>'Review - Final Extraction'!$U$44:$AP$44</c:f>
              <c:strCache>
                <c:ptCount val="22"/>
                <c:pt idx="0">
                  <c:v>general_usability</c:v>
                </c:pt>
                <c:pt idx="1">
                  <c:v>generalUX</c:v>
                </c:pt>
                <c:pt idx="2">
                  <c:v>presence</c:v>
                </c:pt>
                <c:pt idx="3">
                  <c:v>flow</c:v>
                </c:pt>
                <c:pt idx="4">
                  <c:v>interactability</c:v>
                </c:pt>
                <c:pt idx="5">
                  <c:v>learnability</c:v>
                </c:pt>
                <c:pt idx="6">
                  <c:v>emotions</c:v>
                </c:pt>
                <c:pt idx="7">
                  <c:v>usability_smells</c:v>
                </c:pt>
                <c:pt idx="8">
                  <c:v>stress</c:v>
                </c:pt>
                <c:pt idx="9">
                  <c:v>anxiety</c:v>
                </c:pt>
                <c:pt idx="10">
                  <c:v>ease_of_use</c:v>
                </c:pt>
                <c:pt idx="11">
                  <c:v>attention</c:v>
                </c:pt>
                <c:pt idx="12">
                  <c:v>UI</c:v>
                </c:pt>
                <c:pt idx="13">
                  <c:v>behaviour</c:v>
                </c:pt>
                <c:pt idx="14">
                  <c:v>comfort</c:v>
                </c:pt>
                <c:pt idx="15">
                  <c:v>cognitive_load</c:v>
                </c:pt>
                <c:pt idx="16">
                  <c:v>engagement</c:v>
                </c:pt>
                <c:pt idx="17">
                  <c:v>area_of_interest</c:v>
                </c:pt>
                <c:pt idx="18">
                  <c:v>realism</c:v>
                </c:pt>
                <c:pt idx="19">
                  <c:v>sentiment</c:v>
                </c:pt>
                <c:pt idx="20">
                  <c:v>physiological_arousal</c:v>
                </c:pt>
                <c:pt idx="21">
                  <c:v>physical_effort</c:v>
                </c:pt>
              </c:strCache>
            </c:strRef>
          </c:cat>
          <c:val>
            <c:numRef>
              <c:f>'Review - Final Extraction'!$U$45:$AP$45</c:f>
              <c:numCache>
                <c:formatCode>General</c:formatCode>
                <c:ptCount val="22"/>
                <c:pt idx="0">
                  <c:v>6</c:v>
                </c:pt>
                <c:pt idx="1">
                  <c:v>5</c:v>
                </c:pt>
                <c:pt idx="2">
                  <c:v>7</c:v>
                </c:pt>
                <c:pt idx="3">
                  <c:v>3</c:v>
                </c:pt>
                <c:pt idx="4">
                  <c:v>1</c:v>
                </c:pt>
                <c:pt idx="5">
                  <c:v>4</c:v>
                </c:pt>
                <c:pt idx="6">
                  <c:v>5</c:v>
                </c:pt>
                <c:pt idx="7">
                  <c:v>2</c:v>
                </c:pt>
                <c:pt idx="8">
                  <c:v>5</c:v>
                </c:pt>
                <c:pt idx="9">
                  <c:v>2</c:v>
                </c:pt>
                <c:pt idx="10">
                  <c:v>1</c:v>
                </c:pt>
                <c:pt idx="11">
                  <c:v>6</c:v>
                </c:pt>
                <c:pt idx="12">
                  <c:v>2</c:v>
                </c:pt>
                <c:pt idx="13">
                  <c:v>3</c:v>
                </c:pt>
                <c:pt idx="14">
                  <c:v>1</c:v>
                </c:pt>
                <c:pt idx="15">
                  <c:v>2</c:v>
                </c:pt>
                <c:pt idx="16">
                  <c:v>2</c:v>
                </c:pt>
                <c:pt idx="17">
                  <c:v>3</c:v>
                </c:pt>
                <c:pt idx="18">
                  <c:v>2</c:v>
                </c:pt>
                <c:pt idx="19">
                  <c:v>1</c:v>
                </c:pt>
                <c:pt idx="20">
                  <c:v>2</c:v>
                </c:pt>
                <c:pt idx="21">
                  <c:v>4</c:v>
                </c:pt>
              </c:numCache>
            </c:numRef>
          </c:val>
          <c:extLst>
            <c:ext xmlns:c16="http://schemas.microsoft.com/office/drawing/2014/chart" uri="{C3380CC4-5D6E-409C-BE32-E72D297353CC}">
              <c16:uniqueId val="{00000000-7546-6B4D-96FB-D42241B6EFE0}"/>
            </c:ext>
          </c:extLst>
        </c:ser>
        <c:dLbls>
          <c:showLegendKey val="0"/>
          <c:showVal val="0"/>
          <c:showCatName val="0"/>
          <c:showSerName val="0"/>
          <c:showPercent val="0"/>
          <c:showBubbleSize val="0"/>
        </c:dLbls>
        <c:gapWidth val="219"/>
        <c:overlap val="-27"/>
        <c:axId val="1902562592"/>
        <c:axId val="370583200"/>
      </c:barChart>
      <c:catAx>
        <c:axId val="190256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370583200"/>
        <c:crosses val="autoZero"/>
        <c:auto val="1"/>
        <c:lblAlgn val="ctr"/>
        <c:lblOffset val="100"/>
        <c:noMultiLvlLbl val="0"/>
      </c:catAx>
      <c:valAx>
        <c:axId val="370583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0256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Measurements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spPr>
            <a:solidFill>
              <a:schemeClr val="accent1"/>
            </a:solidFill>
            <a:ln>
              <a:noFill/>
            </a:ln>
            <a:effectLst/>
          </c:spPr>
          <c:invertIfNegative val="0"/>
          <c:cat>
            <c:strRef>
              <c:f>'Review - Final Extraction'!$AQ$44:$BJ$44</c:f>
              <c:strCache>
                <c:ptCount val="20"/>
                <c:pt idx="0">
                  <c:v>none</c:v>
                </c:pt>
                <c:pt idx="1">
                  <c:v>heart_rate</c:v>
                </c:pt>
                <c:pt idx="2">
                  <c:v>decision_time</c:v>
                </c:pt>
                <c:pt idx="3">
                  <c:v>hand_movement</c:v>
                </c:pt>
                <c:pt idx="4">
                  <c:v>head_movement</c:v>
                </c:pt>
                <c:pt idx="5">
                  <c:v>facial_expression</c:v>
                </c:pt>
                <c:pt idx="6">
                  <c:v>scene_capture</c:v>
                </c:pt>
                <c:pt idx="7">
                  <c:v>events</c:v>
                </c:pt>
                <c:pt idx="8">
                  <c:v>EEG</c:v>
                </c:pt>
                <c:pt idx="9">
                  <c:v>EDA</c:v>
                </c:pt>
                <c:pt idx="10">
                  <c:v>EMG</c:v>
                </c:pt>
                <c:pt idx="11">
                  <c:v>body_temperature</c:v>
                </c:pt>
                <c:pt idx="12">
                  <c:v>speech</c:v>
                </c:pt>
                <c:pt idx="13">
                  <c:v>walking_speed</c:v>
                </c:pt>
                <c:pt idx="14">
                  <c:v>gaze</c:v>
                </c:pt>
                <c:pt idx="15">
                  <c:v>pupil</c:v>
                </c:pt>
                <c:pt idx="16">
                  <c:v>body_tracking</c:v>
                </c:pt>
                <c:pt idx="17">
                  <c:v>movement</c:v>
                </c:pt>
                <c:pt idx="18">
                  <c:v>respiration</c:v>
                </c:pt>
                <c:pt idx="19">
                  <c:v>pressure_load</c:v>
                </c:pt>
              </c:strCache>
            </c:strRef>
          </c:cat>
          <c:val>
            <c:numRef>
              <c:f>'Review - Final Extraction'!$AQ$45:$BJ$45</c:f>
              <c:numCache>
                <c:formatCode>General</c:formatCode>
                <c:ptCount val="20"/>
                <c:pt idx="0">
                  <c:v>3</c:v>
                </c:pt>
                <c:pt idx="1">
                  <c:v>12</c:v>
                </c:pt>
                <c:pt idx="2">
                  <c:v>1</c:v>
                </c:pt>
                <c:pt idx="3">
                  <c:v>7</c:v>
                </c:pt>
                <c:pt idx="4">
                  <c:v>13</c:v>
                </c:pt>
                <c:pt idx="5">
                  <c:v>3</c:v>
                </c:pt>
                <c:pt idx="6">
                  <c:v>1</c:v>
                </c:pt>
                <c:pt idx="7">
                  <c:v>6</c:v>
                </c:pt>
                <c:pt idx="8">
                  <c:v>6</c:v>
                </c:pt>
                <c:pt idx="9">
                  <c:v>5</c:v>
                </c:pt>
                <c:pt idx="10">
                  <c:v>2</c:v>
                </c:pt>
                <c:pt idx="11">
                  <c:v>1</c:v>
                </c:pt>
                <c:pt idx="12">
                  <c:v>5</c:v>
                </c:pt>
                <c:pt idx="13">
                  <c:v>1</c:v>
                </c:pt>
                <c:pt idx="14">
                  <c:v>7</c:v>
                </c:pt>
                <c:pt idx="15">
                  <c:v>2</c:v>
                </c:pt>
                <c:pt idx="16">
                  <c:v>3</c:v>
                </c:pt>
                <c:pt idx="17">
                  <c:v>2</c:v>
                </c:pt>
                <c:pt idx="18">
                  <c:v>1</c:v>
                </c:pt>
                <c:pt idx="19">
                  <c:v>2</c:v>
                </c:pt>
              </c:numCache>
            </c:numRef>
          </c:val>
          <c:extLst>
            <c:ext xmlns:c16="http://schemas.microsoft.com/office/drawing/2014/chart" uri="{C3380CC4-5D6E-409C-BE32-E72D297353CC}">
              <c16:uniqueId val="{00000000-B819-7B47-8925-E34E779A8121}"/>
            </c:ext>
          </c:extLst>
        </c:ser>
        <c:dLbls>
          <c:showLegendKey val="0"/>
          <c:showVal val="0"/>
          <c:showCatName val="0"/>
          <c:showSerName val="0"/>
          <c:showPercent val="0"/>
          <c:showBubbleSize val="0"/>
        </c:dLbls>
        <c:gapWidth val="219"/>
        <c:overlap val="-27"/>
        <c:axId val="1594730639"/>
        <c:axId val="1594645743"/>
      </c:barChart>
      <c:catAx>
        <c:axId val="159473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94645743"/>
        <c:crosses val="autoZero"/>
        <c:auto val="1"/>
        <c:lblAlgn val="ctr"/>
        <c:lblOffset val="100"/>
        <c:noMultiLvlLbl val="0"/>
      </c:catAx>
      <c:valAx>
        <c:axId val="1594645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9473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20</xdr:col>
      <xdr:colOff>36793</xdr:colOff>
      <xdr:row>46</xdr:row>
      <xdr:rowOff>20850</xdr:rowOff>
    </xdr:from>
    <xdr:to>
      <xdr:col>30</xdr:col>
      <xdr:colOff>1371600</xdr:colOff>
      <xdr:row>89</xdr:row>
      <xdr:rowOff>152399</xdr:rowOff>
    </xdr:to>
    <xdr:graphicFrame macro="">
      <xdr:nvGraphicFramePr>
        <xdr:cNvPr id="4" name="Diagramm 3">
          <a:extLst>
            <a:ext uri="{FF2B5EF4-FFF2-40B4-BE49-F238E27FC236}">
              <a16:creationId xmlns:a16="http://schemas.microsoft.com/office/drawing/2014/main" id="{631243AE-E5C4-6F8B-CFC2-22B3588A19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0</xdr:colOff>
      <xdr:row>45</xdr:row>
      <xdr:rowOff>171450</xdr:rowOff>
    </xdr:from>
    <xdr:to>
      <xdr:col>47</xdr:col>
      <xdr:colOff>1790700</xdr:colOff>
      <xdr:row>91</xdr:row>
      <xdr:rowOff>190500</xdr:rowOff>
    </xdr:to>
    <xdr:graphicFrame macro="">
      <xdr:nvGraphicFramePr>
        <xdr:cNvPr id="2" name="Diagramm 1">
          <a:extLst>
            <a:ext uri="{FF2B5EF4-FFF2-40B4-BE49-F238E27FC236}">
              <a16:creationId xmlns:a16="http://schemas.microsoft.com/office/drawing/2014/main" id="{7152E4D3-9603-BFA2-19D8-6B4D2D6629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for fulltext screening" connectionId="1" xr16:uid="{E0FAEB3C-4203-3747-A145-C689B38AFE61}"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SLR_Include_In_Review" connectionId="2" xr16:uid="{F6874550-34D9-2548-AF3D-F7F923AEE248}" autoFormatId="16" applyNumberFormats="0" applyBorderFormats="0" applyFontFormats="1" applyPatternFormats="1" applyAlignmentFormats="0" applyWidthHeightFormats="0"/>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09/TVCG.2008.195" TargetMode="Externa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96FC9-93E8-D145-872A-C5A1956C674C}">
  <dimension ref="A1:CK653"/>
  <sheetViews>
    <sheetView zoomScaleNormal="100" workbookViewId="0">
      <pane xSplit="1" topLeftCell="B1" activePane="topRight" state="frozen"/>
      <selection pane="topRight" sqref="A1:A1048576"/>
    </sheetView>
  </sheetViews>
  <sheetFormatPr baseColWidth="10" defaultRowHeight="16" x14ac:dyDescent="0.2"/>
  <cols>
    <col min="1" max="1" width="19.1640625" customWidth="1"/>
    <col min="2" max="2" width="34.83203125" customWidth="1"/>
    <col min="3" max="3" width="12" hidden="1" customWidth="1"/>
    <col min="4" max="4" width="0.1640625" hidden="1" customWidth="1"/>
    <col min="5" max="5" width="7.1640625" customWidth="1"/>
    <col min="6" max="6" width="18.1640625" customWidth="1"/>
    <col min="7" max="7" width="126.6640625" style="6" customWidth="1"/>
    <col min="8" max="8" width="216.5" hidden="1" customWidth="1"/>
    <col min="9" max="9" width="77" hidden="1" customWidth="1"/>
    <col min="10" max="10" width="29.33203125" hidden="1" customWidth="1"/>
    <col min="11" max="11" width="52.83203125" bestFit="1" customWidth="1"/>
    <col min="12" max="12" width="160.1640625" bestFit="1" customWidth="1"/>
    <col min="13" max="13" width="59.6640625" customWidth="1"/>
    <col min="14" max="14" width="0" hidden="1" customWidth="1"/>
    <col min="15" max="17" width="13" hidden="1" customWidth="1"/>
    <col min="18" max="89" width="0" hidden="1" customWidth="1"/>
  </cols>
  <sheetData>
    <row r="1" spans="1:89" s="6" customFormat="1" x14ac:dyDescent="0.2">
      <c r="A1" s="6" t="s">
        <v>6651</v>
      </c>
      <c r="B1" s="6" t="s">
        <v>36</v>
      </c>
      <c r="C1" s="6" t="s">
        <v>0</v>
      </c>
      <c r="D1" s="6" t="s">
        <v>1</v>
      </c>
      <c r="E1" s="6" t="s">
        <v>2</v>
      </c>
      <c r="F1" s="6" t="s">
        <v>3</v>
      </c>
      <c r="G1" s="6" t="s">
        <v>4</v>
      </c>
      <c r="H1" s="6" t="s">
        <v>5</v>
      </c>
      <c r="I1" s="6" t="s">
        <v>6</v>
      </c>
      <c r="J1" s="6" t="s">
        <v>7</v>
      </c>
      <c r="K1" s="6" t="s">
        <v>8</v>
      </c>
      <c r="L1" s="6" t="s">
        <v>9</v>
      </c>
      <c r="M1" s="6" t="s">
        <v>10</v>
      </c>
      <c r="N1" s="6" t="s">
        <v>11</v>
      </c>
      <c r="O1" s="6" t="s">
        <v>12</v>
      </c>
      <c r="P1" s="6" t="s">
        <v>13</v>
      </c>
      <c r="Q1" s="6" t="s">
        <v>14</v>
      </c>
      <c r="R1" s="6" t="s">
        <v>15</v>
      </c>
      <c r="S1" s="6" t="s">
        <v>16</v>
      </c>
      <c r="T1" s="6" t="s">
        <v>17</v>
      </c>
      <c r="U1" s="6" t="s">
        <v>18</v>
      </c>
      <c r="V1" s="6" t="s">
        <v>19</v>
      </c>
      <c r="W1" s="6" t="s">
        <v>20</v>
      </c>
      <c r="X1" s="6" t="s">
        <v>21</v>
      </c>
      <c r="Y1" s="6" t="s">
        <v>22</v>
      </c>
      <c r="Z1" s="6" t="s">
        <v>23</v>
      </c>
      <c r="AA1" s="6" t="s">
        <v>24</v>
      </c>
      <c r="AB1" s="6" t="s">
        <v>25</v>
      </c>
      <c r="AC1" s="6" t="s">
        <v>26</v>
      </c>
      <c r="AD1" s="6" t="s">
        <v>27</v>
      </c>
      <c r="AE1" s="6" t="s">
        <v>28</v>
      </c>
      <c r="AF1" s="6" t="s">
        <v>29</v>
      </c>
      <c r="AG1" s="6" t="s">
        <v>30</v>
      </c>
      <c r="AH1" s="6" t="s">
        <v>31</v>
      </c>
      <c r="AI1" s="6" t="s">
        <v>32</v>
      </c>
      <c r="AJ1" s="6" t="s">
        <v>33</v>
      </c>
      <c r="AK1" s="6" t="s">
        <v>34</v>
      </c>
      <c r="AL1" s="6" t="s">
        <v>35</v>
      </c>
      <c r="AM1" s="6" t="s">
        <v>36</v>
      </c>
      <c r="AN1" s="6" t="s">
        <v>37</v>
      </c>
      <c r="AO1" s="6" t="s">
        <v>38</v>
      </c>
      <c r="AP1" s="6" t="s">
        <v>39</v>
      </c>
      <c r="AQ1" s="6" t="s">
        <v>40</v>
      </c>
      <c r="AR1" s="6" t="s">
        <v>41</v>
      </c>
      <c r="AS1" s="6" t="s">
        <v>42</v>
      </c>
      <c r="AT1" s="6" t="s">
        <v>43</v>
      </c>
      <c r="AU1" s="6" t="s">
        <v>44</v>
      </c>
      <c r="AV1" s="6" t="s">
        <v>45</v>
      </c>
      <c r="AW1" s="6" t="s">
        <v>46</v>
      </c>
      <c r="AX1" s="6" t="s">
        <v>47</v>
      </c>
      <c r="AY1" s="6" t="s">
        <v>48</v>
      </c>
      <c r="AZ1" s="6" t="s">
        <v>49</v>
      </c>
      <c r="BA1" s="6" t="s">
        <v>50</v>
      </c>
      <c r="BB1" s="6" t="s">
        <v>51</v>
      </c>
      <c r="BC1" s="6" t="s">
        <v>52</v>
      </c>
      <c r="BD1" s="6" t="s">
        <v>53</v>
      </c>
      <c r="BE1" s="6" t="s">
        <v>54</v>
      </c>
      <c r="BF1" s="6" t="s">
        <v>55</v>
      </c>
      <c r="BG1" s="6" t="s">
        <v>56</v>
      </c>
      <c r="BH1" s="6" t="s">
        <v>57</v>
      </c>
      <c r="BI1" s="6" t="s">
        <v>58</v>
      </c>
      <c r="BJ1" s="6" t="s">
        <v>59</v>
      </c>
      <c r="BK1" s="6" t="s">
        <v>60</v>
      </c>
      <c r="BL1" s="6" t="s">
        <v>61</v>
      </c>
      <c r="BM1" s="6" t="s">
        <v>62</v>
      </c>
      <c r="BN1" s="6" t="s">
        <v>63</v>
      </c>
      <c r="BO1" s="6" t="s">
        <v>64</v>
      </c>
      <c r="BP1" s="6" t="s">
        <v>65</v>
      </c>
      <c r="BQ1" s="6" t="s">
        <v>66</v>
      </c>
      <c r="BR1" s="6" t="s">
        <v>67</v>
      </c>
      <c r="BS1" s="6" t="s">
        <v>68</v>
      </c>
      <c r="BT1" s="6" t="s">
        <v>69</v>
      </c>
      <c r="BU1" s="6" t="s">
        <v>70</v>
      </c>
      <c r="BV1" s="6" t="s">
        <v>71</v>
      </c>
      <c r="BW1" s="6" t="s">
        <v>72</v>
      </c>
      <c r="BX1" s="6" t="s">
        <v>73</v>
      </c>
      <c r="BY1" s="6" t="s">
        <v>74</v>
      </c>
      <c r="BZ1" s="6" t="s">
        <v>75</v>
      </c>
      <c r="CA1" s="6" t="s">
        <v>76</v>
      </c>
      <c r="CB1" s="6" t="s">
        <v>77</v>
      </c>
      <c r="CC1" s="6" t="s">
        <v>78</v>
      </c>
      <c r="CD1" s="6" t="s">
        <v>79</v>
      </c>
      <c r="CE1" s="6" t="s">
        <v>80</v>
      </c>
      <c r="CF1" s="6" t="s">
        <v>81</v>
      </c>
      <c r="CG1" s="6" t="s">
        <v>82</v>
      </c>
      <c r="CH1" s="6" t="s">
        <v>83</v>
      </c>
      <c r="CI1" s="6" t="s">
        <v>84</v>
      </c>
      <c r="CJ1" s="6" t="s">
        <v>85</v>
      </c>
      <c r="CK1" s="6" t="s">
        <v>86</v>
      </c>
    </row>
    <row r="2" spans="1:89" x14ac:dyDescent="0.2">
      <c r="A2" t="s">
        <v>6684</v>
      </c>
      <c r="B2" t="s">
        <v>7035</v>
      </c>
      <c r="C2" t="s">
        <v>4713</v>
      </c>
      <c r="D2" t="s">
        <v>477</v>
      </c>
      <c r="E2">
        <v>2019</v>
      </c>
      <c r="F2" t="s">
        <v>4714</v>
      </c>
      <c r="G2" s="6" t="s">
        <v>4715</v>
      </c>
      <c r="H2" t="s">
        <v>4716</v>
      </c>
      <c r="I2" t="s">
        <v>4717</v>
      </c>
      <c r="K2" t="s">
        <v>4718</v>
      </c>
      <c r="L2" t="s">
        <v>4719</v>
      </c>
      <c r="M2" t="s">
        <v>4720</v>
      </c>
      <c r="N2">
        <v>2019</v>
      </c>
      <c r="O2" s="1">
        <v>45783.306377314817</v>
      </c>
      <c r="P2" s="1">
        <v>45783.306377314817</v>
      </c>
      <c r="R2" t="s">
        <v>4721</v>
      </c>
      <c r="AC2" t="s">
        <v>3194</v>
      </c>
      <c r="AD2" t="s">
        <v>589</v>
      </c>
      <c r="AL2" t="s">
        <v>4722</v>
      </c>
      <c r="AP2" t="s">
        <v>4723</v>
      </c>
    </row>
    <row r="3" spans="1:89" x14ac:dyDescent="0.2">
      <c r="A3" t="s">
        <v>6684</v>
      </c>
      <c r="B3" t="s">
        <v>7037</v>
      </c>
      <c r="C3" t="s">
        <v>4809</v>
      </c>
      <c r="D3" t="s">
        <v>477</v>
      </c>
      <c r="E3">
        <v>2012</v>
      </c>
      <c r="F3" t="s">
        <v>4810</v>
      </c>
      <c r="G3" s="6" t="s">
        <v>4811</v>
      </c>
      <c r="H3" t="s">
        <v>4812</v>
      </c>
      <c r="I3" t="s">
        <v>4813</v>
      </c>
      <c r="K3" t="s">
        <v>4814</v>
      </c>
      <c r="L3" t="s">
        <v>4815</v>
      </c>
      <c r="M3" t="s">
        <v>4816</v>
      </c>
      <c r="N3">
        <v>2012</v>
      </c>
      <c r="O3" s="1">
        <v>45783.306377314817</v>
      </c>
      <c r="P3" s="1">
        <v>45783.306377314817</v>
      </c>
      <c r="R3" t="s">
        <v>4148</v>
      </c>
      <c r="Y3" t="s">
        <v>4817</v>
      </c>
      <c r="AC3" t="s">
        <v>1167</v>
      </c>
      <c r="AD3" t="s">
        <v>3218</v>
      </c>
      <c r="AL3" t="s">
        <v>4818</v>
      </c>
      <c r="AP3" t="s">
        <v>4819</v>
      </c>
    </row>
    <row r="4" spans="1:89" x14ac:dyDescent="0.2">
      <c r="A4" t="s">
        <v>6684</v>
      </c>
      <c r="B4" t="s">
        <v>7035</v>
      </c>
      <c r="C4" t="s">
        <v>6057</v>
      </c>
      <c r="D4" t="s">
        <v>477</v>
      </c>
      <c r="E4">
        <v>2012</v>
      </c>
      <c r="F4" t="s">
        <v>6058</v>
      </c>
      <c r="G4" s="6" t="s">
        <v>6059</v>
      </c>
      <c r="H4" t="s">
        <v>6060</v>
      </c>
      <c r="I4" t="s">
        <v>6061</v>
      </c>
      <c r="K4" t="s">
        <v>6062</v>
      </c>
      <c r="L4" t="s">
        <v>6063</v>
      </c>
      <c r="N4" t="s">
        <v>5229</v>
      </c>
      <c r="O4" s="1">
        <v>45783.312361111108</v>
      </c>
      <c r="P4" s="1">
        <v>45783.312361111108</v>
      </c>
      <c r="Q4" s="1">
        <v>45783.312361111108</v>
      </c>
      <c r="R4" t="s">
        <v>6064</v>
      </c>
      <c r="X4" t="s">
        <v>6065</v>
      </c>
      <c r="AC4" t="s">
        <v>5107</v>
      </c>
      <c r="AD4" t="s">
        <v>5316</v>
      </c>
      <c r="AJ4" t="s">
        <v>98</v>
      </c>
      <c r="BV4" t="s">
        <v>6066</v>
      </c>
    </row>
    <row r="5" spans="1:89" x14ac:dyDescent="0.2">
      <c r="A5" t="s">
        <v>7034</v>
      </c>
      <c r="B5" t="s">
        <v>6658</v>
      </c>
      <c r="C5" t="s">
        <v>6006</v>
      </c>
      <c r="D5" t="s">
        <v>477</v>
      </c>
      <c r="E5">
        <v>2023</v>
      </c>
      <c r="F5" t="s">
        <v>6007</v>
      </c>
      <c r="G5" s="6" t="s">
        <v>6008</v>
      </c>
      <c r="H5" t="s">
        <v>6009</v>
      </c>
      <c r="I5" t="s">
        <v>6010</v>
      </c>
      <c r="K5" t="s">
        <v>6011</v>
      </c>
      <c r="L5" t="s">
        <v>6012</v>
      </c>
      <c r="N5" s="2">
        <v>45215</v>
      </c>
      <c r="O5" s="1">
        <v>45783.3122337963</v>
      </c>
      <c r="P5" s="1">
        <v>45783.3122337963</v>
      </c>
      <c r="Q5" s="1">
        <v>45783.3122337963</v>
      </c>
      <c r="R5" t="s">
        <v>6013</v>
      </c>
      <c r="AC5" t="s">
        <v>5107</v>
      </c>
      <c r="AD5" t="s">
        <v>5466</v>
      </c>
      <c r="AJ5" t="s">
        <v>98</v>
      </c>
      <c r="AN5" t="s">
        <v>6014</v>
      </c>
      <c r="BV5" t="s">
        <v>6009</v>
      </c>
    </row>
    <row r="6" spans="1:89" x14ac:dyDescent="0.2">
      <c r="A6" t="s">
        <v>6684</v>
      </c>
      <c r="B6" t="s">
        <v>6657</v>
      </c>
      <c r="C6" t="s">
        <v>1385</v>
      </c>
      <c r="D6" t="s">
        <v>477</v>
      </c>
      <c r="E6">
        <v>2024</v>
      </c>
      <c r="F6" t="s">
        <v>1386</v>
      </c>
      <c r="G6" s="6" t="s">
        <v>1387</v>
      </c>
      <c r="H6" t="s">
        <v>1388</v>
      </c>
      <c r="I6" t="s">
        <v>1389</v>
      </c>
      <c r="K6" t="s">
        <v>1390</v>
      </c>
      <c r="L6" t="s">
        <v>1391</v>
      </c>
      <c r="M6" t="s">
        <v>1392</v>
      </c>
      <c r="N6">
        <v>2024</v>
      </c>
      <c r="O6" s="1">
        <v>45783.300150462965</v>
      </c>
      <c r="P6" s="1">
        <v>45783.300150462965</v>
      </c>
      <c r="R6" t="s">
        <v>1393</v>
      </c>
      <c r="U6">
        <v>109</v>
      </c>
      <c r="AC6" t="s">
        <v>787</v>
      </c>
      <c r="AE6" t="s">
        <v>645</v>
      </c>
      <c r="AH6" t="s">
        <v>646</v>
      </c>
      <c r="AL6" t="s">
        <v>1394</v>
      </c>
      <c r="AP6" t="s">
        <v>1395</v>
      </c>
      <c r="AR6" t="s">
        <v>1396</v>
      </c>
      <c r="BV6" t="s">
        <v>1397</v>
      </c>
    </row>
    <row r="7" spans="1:89" x14ac:dyDescent="0.2">
      <c r="A7" t="s">
        <v>7034</v>
      </c>
      <c r="B7" t="s">
        <v>7048</v>
      </c>
      <c r="C7" t="s">
        <v>4619</v>
      </c>
      <c r="D7" t="s">
        <v>477</v>
      </c>
      <c r="E7">
        <v>2010</v>
      </c>
      <c r="F7" t="s">
        <v>4620</v>
      </c>
      <c r="G7" s="6" t="s">
        <v>4621</v>
      </c>
      <c r="H7" t="s">
        <v>4622</v>
      </c>
      <c r="I7" t="s">
        <v>4623</v>
      </c>
      <c r="K7" t="s">
        <v>4624</v>
      </c>
      <c r="L7" t="s">
        <v>4625</v>
      </c>
      <c r="M7" t="s">
        <v>4626</v>
      </c>
      <c r="N7">
        <v>2010</v>
      </c>
      <c r="O7" s="1">
        <v>45783.306377314817</v>
      </c>
      <c r="P7" s="1">
        <v>45783.341631944444</v>
      </c>
      <c r="R7" t="s">
        <v>4627</v>
      </c>
      <c r="Y7" t="s">
        <v>4628</v>
      </c>
      <c r="AC7" t="s">
        <v>1167</v>
      </c>
      <c r="AD7" t="s">
        <v>3218</v>
      </c>
      <c r="AL7" t="s">
        <v>4629</v>
      </c>
      <c r="AP7" t="s">
        <v>4630</v>
      </c>
    </row>
    <row r="8" spans="1:89" x14ac:dyDescent="0.2">
      <c r="A8" t="s">
        <v>6684</v>
      </c>
      <c r="B8" t="s">
        <v>7035</v>
      </c>
      <c r="C8" t="s">
        <v>4057</v>
      </c>
      <c r="D8" t="s">
        <v>102</v>
      </c>
      <c r="E8">
        <v>2024</v>
      </c>
      <c r="F8" t="s">
        <v>4058</v>
      </c>
      <c r="G8" s="6" t="s">
        <v>4059</v>
      </c>
      <c r="H8" t="s">
        <v>2187</v>
      </c>
      <c r="J8" t="s">
        <v>4060</v>
      </c>
      <c r="K8" t="s">
        <v>4061</v>
      </c>
      <c r="L8" t="s">
        <v>4062</v>
      </c>
      <c r="N8" t="s">
        <v>3993</v>
      </c>
      <c r="O8" s="1">
        <v>45783.306377314817</v>
      </c>
      <c r="P8" s="1">
        <v>45783.306377314817</v>
      </c>
      <c r="R8" t="s">
        <v>4063</v>
      </c>
      <c r="T8" t="s">
        <v>3283</v>
      </c>
      <c r="U8">
        <v>231</v>
      </c>
      <c r="AL8" t="s">
        <v>3648</v>
      </c>
      <c r="AP8" t="s">
        <v>4064</v>
      </c>
    </row>
    <row r="9" spans="1:89" x14ac:dyDescent="0.2">
      <c r="A9" t="s">
        <v>6684</v>
      </c>
      <c r="B9" t="s">
        <v>7035</v>
      </c>
      <c r="C9" t="s">
        <v>6178</v>
      </c>
      <c r="D9" t="s">
        <v>477</v>
      </c>
      <c r="E9">
        <v>2024</v>
      </c>
      <c r="F9" t="s">
        <v>6179</v>
      </c>
      <c r="G9" s="6" t="s">
        <v>6180</v>
      </c>
      <c r="H9" t="s">
        <v>6181</v>
      </c>
      <c r="I9" t="s">
        <v>6182</v>
      </c>
      <c r="K9" t="s">
        <v>6183</v>
      </c>
      <c r="L9" t="s">
        <v>6184</v>
      </c>
      <c r="N9" s="2">
        <v>45578</v>
      </c>
      <c r="O9" s="1">
        <v>45783.312858796293</v>
      </c>
      <c r="P9" s="1">
        <v>45783.312858796293</v>
      </c>
      <c r="Q9" s="1">
        <v>45783.312858796293</v>
      </c>
      <c r="R9" s="3">
        <v>45870</v>
      </c>
      <c r="X9" t="s">
        <v>6185</v>
      </c>
      <c r="AC9" t="s">
        <v>5107</v>
      </c>
      <c r="AD9" t="s">
        <v>6186</v>
      </c>
      <c r="AF9" t="s">
        <v>5109</v>
      </c>
      <c r="AJ9" t="s">
        <v>98</v>
      </c>
      <c r="BV9" t="s">
        <v>6181</v>
      </c>
    </row>
    <row r="10" spans="1:89" x14ac:dyDescent="0.2">
      <c r="A10" t="s">
        <v>6684</v>
      </c>
      <c r="B10" t="s">
        <v>7035</v>
      </c>
      <c r="C10" t="s">
        <v>5110</v>
      </c>
      <c r="D10" t="s">
        <v>477</v>
      </c>
      <c r="E10">
        <v>2023</v>
      </c>
      <c r="F10" t="s">
        <v>5111</v>
      </c>
      <c r="G10" s="6" t="s">
        <v>5112</v>
      </c>
      <c r="H10" t="s">
        <v>5113</v>
      </c>
      <c r="I10" t="s">
        <v>5114</v>
      </c>
      <c r="K10" t="s">
        <v>5115</v>
      </c>
      <c r="L10" t="s">
        <v>5116</v>
      </c>
      <c r="N10" s="2">
        <v>45067</v>
      </c>
      <c r="O10" s="1">
        <v>45783.311111111114</v>
      </c>
      <c r="P10" s="1">
        <v>45783.311111111114</v>
      </c>
      <c r="Q10" s="1">
        <v>45783.311111111114</v>
      </c>
      <c r="R10" t="s">
        <v>5117</v>
      </c>
      <c r="X10" t="s">
        <v>5118</v>
      </c>
      <c r="AC10" t="s">
        <v>5107</v>
      </c>
      <c r="AD10" t="s">
        <v>5119</v>
      </c>
      <c r="AF10" t="s">
        <v>5109</v>
      </c>
      <c r="AJ10" t="s">
        <v>98</v>
      </c>
      <c r="BV10" t="s">
        <v>5113</v>
      </c>
    </row>
    <row r="11" spans="1:89" x14ac:dyDescent="0.2">
      <c r="A11" t="s">
        <v>6684</v>
      </c>
      <c r="B11" t="s">
        <v>6657</v>
      </c>
      <c r="C11" t="s">
        <v>2488</v>
      </c>
      <c r="D11" t="s">
        <v>102</v>
      </c>
      <c r="E11">
        <v>2016</v>
      </c>
      <c r="F11" t="s">
        <v>2489</v>
      </c>
      <c r="G11" s="6" t="s">
        <v>2490</v>
      </c>
      <c r="H11" t="s">
        <v>2491</v>
      </c>
      <c r="J11" t="s">
        <v>2492</v>
      </c>
      <c r="K11" t="s">
        <v>2493</v>
      </c>
      <c r="L11" t="s">
        <v>2494</v>
      </c>
      <c r="M11" t="s">
        <v>2495</v>
      </c>
      <c r="N11">
        <v>2016</v>
      </c>
      <c r="O11" s="1">
        <v>45783.300162037034</v>
      </c>
      <c r="P11" s="1">
        <v>45783.300162037034</v>
      </c>
      <c r="R11" t="s">
        <v>2496</v>
      </c>
      <c r="U11">
        <v>75</v>
      </c>
      <c r="W11" t="s">
        <v>2497</v>
      </c>
      <c r="AE11" t="s">
        <v>645</v>
      </c>
      <c r="AH11" t="s">
        <v>646</v>
      </c>
      <c r="AL11" t="s">
        <v>706</v>
      </c>
      <c r="AP11" t="s">
        <v>2498</v>
      </c>
    </row>
    <row r="12" spans="1:89" x14ac:dyDescent="0.2">
      <c r="A12" t="s">
        <v>6684</v>
      </c>
      <c r="B12" t="s">
        <v>7036</v>
      </c>
      <c r="C12" t="s">
        <v>6455</v>
      </c>
      <c r="D12" t="s">
        <v>477</v>
      </c>
      <c r="E12">
        <v>2022</v>
      </c>
      <c r="F12" t="s">
        <v>6456</v>
      </c>
      <c r="G12" s="6" t="s">
        <v>6457</v>
      </c>
      <c r="H12" t="s">
        <v>6458</v>
      </c>
      <c r="I12" t="s">
        <v>6459</v>
      </c>
      <c r="K12" t="s">
        <v>6460</v>
      </c>
      <c r="L12" t="s">
        <v>6461</v>
      </c>
      <c r="N12" s="2">
        <v>44717</v>
      </c>
      <c r="O12" s="1">
        <v>45783.313587962963</v>
      </c>
      <c r="P12" s="1">
        <v>45784.289131944446</v>
      </c>
      <c r="Q12" s="1">
        <v>45783.313587962963</v>
      </c>
      <c r="R12" t="s">
        <v>6462</v>
      </c>
      <c r="AC12" t="s">
        <v>5107</v>
      </c>
      <c r="AD12" t="s">
        <v>6463</v>
      </c>
      <c r="AF12" t="s">
        <v>5109</v>
      </c>
      <c r="AJ12" t="s">
        <v>98</v>
      </c>
      <c r="AN12" t="s">
        <v>6464</v>
      </c>
      <c r="AP12" t="s">
        <v>6465</v>
      </c>
      <c r="BV12" t="s">
        <v>6458</v>
      </c>
    </row>
    <row r="13" spans="1:89" x14ac:dyDescent="0.2">
      <c r="A13" t="s">
        <v>6684</v>
      </c>
      <c r="B13" t="s">
        <v>6653</v>
      </c>
      <c r="C13" t="s">
        <v>6249</v>
      </c>
      <c r="D13" t="s">
        <v>477</v>
      </c>
      <c r="E13">
        <v>2024</v>
      </c>
      <c r="F13" t="s">
        <v>6250</v>
      </c>
      <c r="G13" s="6" t="s">
        <v>6251</v>
      </c>
      <c r="H13" t="s">
        <v>6252</v>
      </c>
      <c r="I13" t="s">
        <v>6253</v>
      </c>
      <c r="K13" t="s">
        <v>6254</v>
      </c>
      <c r="L13" t="s">
        <v>6255</v>
      </c>
      <c r="N13" s="2">
        <v>45586</v>
      </c>
      <c r="O13" s="1">
        <v>45783.313391203701</v>
      </c>
      <c r="P13" s="1">
        <v>45783.313391203701</v>
      </c>
      <c r="Q13" s="1">
        <v>45783.313391203701</v>
      </c>
      <c r="R13" t="s">
        <v>6256</v>
      </c>
      <c r="X13" t="s">
        <v>6257</v>
      </c>
      <c r="AC13" t="s">
        <v>5107</v>
      </c>
      <c r="AD13" t="s">
        <v>6258</v>
      </c>
      <c r="AF13" t="s">
        <v>5109</v>
      </c>
      <c r="AJ13" t="s">
        <v>98</v>
      </c>
      <c r="BV13" t="s">
        <v>6252</v>
      </c>
    </row>
    <row r="14" spans="1:89" x14ac:dyDescent="0.2">
      <c r="A14" t="s">
        <v>6684</v>
      </c>
      <c r="B14" t="s">
        <v>7036</v>
      </c>
      <c r="C14" t="s">
        <v>3296</v>
      </c>
      <c r="D14" t="s">
        <v>477</v>
      </c>
      <c r="E14">
        <v>2021</v>
      </c>
      <c r="F14" t="s">
        <v>3297</v>
      </c>
      <c r="G14" s="6" t="s">
        <v>3298</v>
      </c>
      <c r="H14" t="s">
        <v>3299</v>
      </c>
      <c r="I14" t="s">
        <v>3300</v>
      </c>
      <c r="K14" t="s">
        <v>3301</v>
      </c>
      <c r="L14" t="s">
        <v>3302</v>
      </c>
      <c r="M14" t="s">
        <v>3303</v>
      </c>
      <c r="N14">
        <v>2021</v>
      </c>
      <c r="O14" s="1">
        <v>45783.293402777781</v>
      </c>
      <c r="P14" s="1">
        <v>45784.354629629626</v>
      </c>
      <c r="R14" t="s">
        <v>3304</v>
      </c>
      <c r="U14">
        <v>12781</v>
      </c>
      <c r="AC14" t="s">
        <v>3194</v>
      </c>
      <c r="AD14" t="s">
        <v>589</v>
      </c>
      <c r="AP14" t="s">
        <v>3305</v>
      </c>
    </row>
    <row r="15" spans="1:89" x14ac:dyDescent="0.2">
      <c r="A15" t="s">
        <v>6684</v>
      </c>
      <c r="B15" t="s">
        <v>6657</v>
      </c>
      <c r="C15" t="s">
        <v>2244</v>
      </c>
      <c r="D15" t="s">
        <v>477</v>
      </c>
      <c r="E15">
        <v>2019</v>
      </c>
      <c r="F15" t="s">
        <v>2245</v>
      </c>
      <c r="G15" s="6" t="s">
        <v>2246</v>
      </c>
      <c r="H15" t="s">
        <v>1161</v>
      </c>
      <c r="I15" t="s">
        <v>2247</v>
      </c>
      <c r="K15" t="s">
        <v>2248</v>
      </c>
      <c r="L15" t="s">
        <v>2249</v>
      </c>
      <c r="M15" t="s">
        <v>2250</v>
      </c>
      <c r="N15">
        <v>2019</v>
      </c>
      <c r="O15" s="1">
        <v>45783.300162037034</v>
      </c>
      <c r="P15" s="1">
        <v>45783.300162037034</v>
      </c>
      <c r="R15" t="s">
        <v>2251</v>
      </c>
      <c r="AC15" t="s">
        <v>1167</v>
      </c>
      <c r="AE15" t="s">
        <v>645</v>
      </c>
      <c r="AH15" t="s">
        <v>646</v>
      </c>
      <c r="AL15" t="s">
        <v>1168</v>
      </c>
      <c r="AP15" t="s">
        <v>2252</v>
      </c>
      <c r="BV15" t="s">
        <v>1170</v>
      </c>
    </row>
    <row r="16" spans="1:89" x14ac:dyDescent="0.2">
      <c r="A16" t="s">
        <v>6684</v>
      </c>
      <c r="B16" t="s">
        <v>7035</v>
      </c>
      <c r="C16" t="s">
        <v>5642</v>
      </c>
      <c r="D16" t="s">
        <v>477</v>
      </c>
      <c r="E16">
        <v>2022</v>
      </c>
      <c r="F16" t="s">
        <v>5643</v>
      </c>
      <c r="G16" s="6" t="s">
        <v>5644</v>
      </c>
      <c r="H16" t="s">
        <v>5645</v>
      </c>
      <c r="I16" t="s">
        <v>5646</v>
      </c>
      <c r="K16" t="s">
        <v>5647</v>
      </c>
      <c r="L16" t="s">
        <v>5648</v>
      </c>
      <c r="N16" t="s">
        <v>5649</v>
      </c>
      <c r="O16" s="1">
        <v>45783.311701388891</v>
      </c>
      <c r="P16" s="1">
        <v>45783.311701388891</v>
      </c>
      <c r="Q16" s="1">
        <v>45783.311701388891</v>
      </c>
      <c r="R16" t="s">
        <v>5650</v>
      </c>
      <c r="AC16" t="s">
        <v>5107</v>
      </c>
      <c r="AD16" t="s">
        <v>5651</v>
      </c>
      <c r="AF16" t="s">
        <v>5109</v>
      </c>
      <c r="AJ16" t="s">
        <v>98</v>
      </c>
      <c r="BV16" t="s">
        <v>5645</v>
      </c>
    </row>
    <row r="17" spans="1:74" x14ac:dyDescent="0.2">
      <c r="A17" t="s">
        <v>6684</v>
      </c>
      <c r="B17" t="s">
        <v>6657</v>
      </c>
      <c r="C17" t="s">
        <v>2732</v>
      </c>
      <c r="D17" t="s">
        <v>102</v>
      </c>
      <c r="E17">
        <v>2017</v>
      </c>
      <c r="F17" t="s">
        <v>2733</v>
      </c>
      <c r="G17" s="6" t="s">
        <v>2734</v>
      </c>
      <c r="H17" t="s">
        <v>1928</v>
      </c>
      <c r="J17" t="s">
        <v>910</v>
      </c>
      <c r="K17" t="s">
        <v>2735</v>
      </c>
      <c r="L17" t="s">
        <v>2736</v>
      </c>
      <c r="M17" t="s">
        <v>2737</v>
      </c>
      <c r="N17">
        <v>2017</v>
      </c>
      <c r="O17" s="1">
        <v>45783.300162037034</v>
      </c>
      <c r="P17" s="1">
        <v>45783.300162037034</v>
      </c>
      <c r="T17">
        <v>5</v>
      </c>
      <c r="U17">
        <v>17</v>
      </c>
      <c r="W17" t="s">
        <v>909</v>
      </c>
      <c r="AE17" t="s">
        <v>645</v>
      </c>
      <c r="AH17" t="s">
        <v>646</v>
      </c>
      <c r="AL17" t="s">
        <v>1471</v>
      </c>
      <c r="AP17" t="s">
        <v>2738</v>
      </c>
    </row>
    <row r="18" spans="1:74" x14ac:dyDescent="0.2">
      <c r="A18" t="s">
        <v>6684</v>
      </c>
      <c r="B18" t="s">
        <v>7035</v>
      </c>
      <c r="C18" t="s">
        <v>4497</v>
      </c>
      <c r="D18" t="s">
        <v>102</v>
      </c>
      <c r="E18">
        <v>2024</v>
      </c>
      <c r="F18" t="s">
        <v>4498</v>
      </c>
      <c r="G18" s="6" t="s">
        <v>4499</v>
      </c>
      <c r="H18" t="s">
        <v>4020</v>
      </c>
      <c r="J18" t="s">
        <v>4021</v>
      </c>
      <c r="K18" t="s">
        <v>4500</v>
      </c>
      <c r="L18" t="s">
        <v>4501</v>
      </c>
      <c r="M18" t="s">
        <v>4502</v>
      </c>
      <c r="N18" t="s">
        <v>163</v>
      </c>
      <c r="O18" s="1">
        <v>45783.306377314817</v>
      </c>
      <c r="P18" s="1">
        <v>45783.306377314817</v>
      </c>
      <c r="T18">
        <v>2</v>
      </c>
      <c r="U18">
        <v>28</v>
      </c>
      <c r="AL18" t="s">
        <v>3897</v>
      </c>
      <c r="AP18" t="s">
        <v>4503</v>
      </c>
    </row>
    <row r="19" spans="1:74" x14ac:dyDescent="0.2">
      <c r="A19" t="s">
        <v>6684</v>
      </c>
      <c r="B19" t="s">
        <v>7035</v>
      </c>
      <c r="C19" t="s">
        <v>4746</v>
      </c>
      <c r="D19" t="s">
        <v>477</v>
      </c>
      <c r="E19">
        <v>2022</v>
      </c>
      <c r="F19" t="s">
        <v>4747</v>
      </c>
      <c r="G19" s="6" t="s">
        <v>4748</v>
      </c>
      <c r="H19" t="s">
        <v>4749</v>
      </c>
      <c r="I19" t="s">
        <v>4750</v>
      </c>
      <c r="K19" t="s">
        <v>4751</v>
      </c>
      <c r="L19" t="s">
        <v>4752</v>
      </c>
      <c r="M19" t="s">
        <v>4753</v>
      </c>
      <c r="N19">
        <v>2022</v>
      </c>
      <c r="O19" s="1">
        <v>45783.306377314817</v>
      </c>
      <c r="P19" s="1">
        <v>45783.306377314817</v>
      </c>
      <c r="R19" t="s">
        <v>4754</v>
      </c>
      <c r="Y19" t="s">
        <v>4755</v>
      </c>
      <c r="AC19" t="s">
        <v>1167</v>
      </c>
      <c r="AD19" t="s">
        <v>3218</v>
      </c>
      <c r="AL19" t="s">
        <v>4756</v>
      </c>
      <c r="AP19" t="s">
        <v>4757</v>
      </c>
    </row>
    <row r="20" spans="1:74" x14ac:dyDescent="0.2">
      <c r="A20" t="s">
        <v>6684</v>
      </c>
      <c r="B20" t="s">
        <v>7035</v>
      </c>
      <c r="C20" t="s">
        <v>1017</v>
      </c>
      <c r="D20" t="s">
        <v>102</v>
      </c>
      <c r="E20">
        <v>2023</v>
      </c>
      <c r="F20" t="s">
        <v>1018</v>
      </c>
      <c r="G20" s="6" t="s">
        <v>1019</v>
      </c>
      <c r="H20" t="s">
        <v>1020</v>
      </c>
      <c r="J20" t="s">
        <v>1021</v>
      </c>
      <c r="K20" t="s">
        <v>1022</v>
      </c>
      <c r="L20" t="s">
        <v>1023</v>
      </c>
      <c r="M20" t="s">
        <v>1024</v>
      </c>
      <c r="N20">
        <v>2023</v>
      </c>
      <c r="O20" s="1">
        <v>45783.300150462965</v>
      </c>
      <c r="P20" s="1">
        <v>45783.300150462965</v>
      </c>
      <c r="R20" t="s">
        <v>1025</v>
      </c>
      <c r="T20">
        <v>11</v>
      </c>
      <c r="U20">
        <v>23</v>
      </c>
      <c r="W20" t="s">
        <v>1026</v>
      </c>
      <c r="AE20" t="s">
        <v>645</v>
      </c>
      <c r="AH20" t="s">
        <v>646</v>
      </c>
      <c r="AL20" t="s">
        <v>647</v>
      </c>
      <c r="AP20" t="s">
        <v>1027</v>
      </c>
    </row>
    <row r="21" spans="1:74" x14ac:dyDescent="0.2">
      <c r="A21" t="s">
        <v>6684</v>
      </c>
      <c r="B21" t="s">
        <v>7035</v>
      </c>
      <c r="C21" t="s">
        <v>4191</v>
      </c>
      <c r="D21" t="s">
        <v>102</v>
      </c>
      <c r="E21">
        <v>2023</v>
      </c>
      <c r="F21" t="s">
        <v>4192</v>
      </c>
      <c r="G21" s="6" t="s">
        <v>4193</v>
      </c>
      <c r="H21" t="s">
        <v>2187</v>
      </c>
      <c r="J21" t="s">
        <v>4060</v>
      </c>
      <c r="K21" t="s">
        <v>4194</v>
      </c>
      <c r="L21" t="s">
        <v>4195</v>
      </c>
      <c r="N21" t="s">
        <v>4196</v>
      </c>
      <c r="O21" s="1">
        <v>45783.306377314817</v>
      </c>
      <c r="P21" s="1">
        <v>45783.306377314817</v>
      </c>
      <c r="R21" t="s">
        <v>4197</v>
      </c>
      <c r="T21" t="s">
        <v>3283</v>
      </c>
      <c r="U21">
        <v>227</v>
      </c>
      <c r="AL21" t="s">
        <v>3648</v>
      </c>
      <c r="AP21" t="s">
        <v>4198</v>
      </c>
    </row>
    <row r="22" spans="1:74" x14ac:dyDescent="0.2">
      <c r="A22" t="s">
        <v>6684</v>
      </c>
      <c r="B22" t="s">
        <v>6657</v>
      </c>
      <c r="C22" t="s">
        <v>5143</v>
      </c>
      <c r="D22" t="s">
        <v>477</v>
      </c>
      <c r="E22">
        <v>2020</v>
      </c>
      <c r="F22" t="s">
        <v>5144</v>
      </c>
      <c r="G22" s="6" t="s">
        <v>5145</v>
      </c>
      <c r="H22" t="s">
        <v>5146</v>
      </c>
      <c r="I22" t="s">
        <v>5147</v>
      </c>
      <c r="K22" t="s">
        <v>5148</v>
      </c>
      <c r="L22" t="s">
        <v>5149</v>
      </c>
      <c r="N22" t="s">
        <v>5150</v>
      </c>
      <c r="O22" s="1">
        <v>45783.31113425926</v>
      </c>
      <c r="P22" s="1">
        <v>45783.31113425926</v>
      </c>
      <c r="Q22" s="1">
        <v>45783.31113425926</v>
      </c>
      <c r="R22" t="s">
        <v>5151</v>
      </c>
      <c r="AC22" t="s">
        <v>5107</v>
      </c>
      <c r="AD22" t="s">
        <v>5152</v>
      </c>
      <c r="AF22" t="s">
        <v>5140</v>
      </c>
      <c r="AJ22" t="s">
        <v>98</v>
      </c>
      <c r="BV22" t="s">
        <v>5146</v>
      </c>
    </row>
    <row r="23" spans="1:74" x14ac:dyDescent="0.2">
      <c r="A23" t="s">
        <v>6684</v>
      </c>
      <c r="B23" t="s">
        <v>7035</v>
      </c>
      <c r="C23" t="s">
        <v>2546</v>
      </c>
      <c r="D23" t="s">
        <v>477</v>
      </c>
      <c r="E23">
        <v>2019</v>
      </c>
      <c r="F23" t="s">
        <v>2547</v>
      </c>
      <c r="G23" s="6" t="s">
        <v>2548</v>
      </c>
      <c r="H23" t="s">
        <v>2549</v>
      </c>
      <c r="I23" t="s">
        <v>2550</v>
      </c>
      <c r="K23" t="s">
        <v>2551</v>
      </c>
      <c r="L23" t="s">
        <v>2552</v>
      </c>
      <c r="M23" t="s">
        <v>2553</v>
      </c>
      <c r="N23">
        <v>2019</v>
      </c>
      <c r="O23" s="1">
        <v>45783.300162037034</v>
      </c>
      <c r="P23" s="1">
        <v>45783.300162037034</v>
      </c>
      <c r="R23" t="s">
        <v>2554</v>
      </c>
      <c r="AC23" t="s">
        <v>681</v>
      </c>
      <c r="AE23" t="s">
        <v>645</v>
      </c>
      <c r="AH23" t="s">
        <v>646</v>
      </c>
      <c r="AL23" t="s">
        <v>2555</v>
      </c>
      <c r="AP23" t="s">
        <v>2556</v>
      </c>
      <c r="BV23" t="s">
        <v>2557</v>
      </c>
    </row>
    <row r="24" spans="1:74" x14ac:dyDescent="0.2">
      <c r="A24" t="s">
        <v>7034</v>
      </c>
      <c r="B24" t="s">
        <v>6655</v>
      </c>
      <c r="C24" t="s">
        <v>3976</v>
      </c>
      <c r="D24" t="s">
        <v>102</v>
      </c>
      <c r="E24">
        <v>2025</v>
      </c>
      <c r="F24" t="s">
        <v>3977</v>
      </c>
      <c r="G24" s="6" t="s">
        <v>3978</v>
      </c>
      <c r="H24" t="s">
        <v>3979</v>
      </c>
      <c r="J24" t="s">
        <v>3980</v>
      </c>
      <c r="K24" t="s">
        <v>3981</v>
      </c>
      <c r="L24" t="s">
        <v>3982</v>
      </c>
      <c r="M24" t="s">
        <v>3983</v>
      </c>
      <c r="N24" t="s">
        <v>3756</v>
      </c>
      <c r="O24" s="1">
        <v>45783.306377314817</v>
      </c>
      <c r="P24" s="1">
        <v>45783.376423611109</v>
      </c>
      <c r="R24" t="s">
        <v>3984</v>
      </c>
      <c r="T24">
        <v>8</v>
      </c>
      <c r="U24">
        <v>37</v>
      </c>
      <c r="AL24" t="s">
        <v>3897</v>
      </c>
      <c r="AP24" t="s">
        <v>3985</v>
      </c>
    </row>
    <row r="25" spans="1:74" x14ac:dyDescent="0.2">
      <c r="A25" t="s">
        <v>6684</v>
      </c>
      <c r="B25" t="s">
        <v>7035</v>
      </c>
      <c r="C25" t="s">
        <v>5099</v>
      </c>
      <c r="D25" t="s">
        <v>477</v>
      </c>
      <c r="E25">
        <v>2024</v>
      </c>
      <c r="F25" t="s">
        <v>5100</v>
      </c>
      <c r="G25" s="6" t="s">
        <v>5101</v>
      </c>
      <c r="H25" t="s">
        <v>5102</v>
      </c>
      <c r="I25" t="s">
        <v>5103</v>
      </c>
      <c r="K25" t="s">
        <v>5104</v>
      </c>
      <c r="L25" t="s">
        <v>5105</v>
      </c>
      <c r="N25" s="2">
        <v>45611</v>
      </c>
      <c r="O25" s="1">
        <v>45783.311099537037</v>
      </c>
      <c r="P25" s="1">
        <v>45783.311099537037</v>
      </c>
      <c r="Q25" s="1">
        <v>45783.311099537037</v>
      </c>
      <c r="R25" t="s">
        <v>5106</v>
      </c>
      <c r="AC25" t="s">
        <v>5107</v>
      </c>
      <c r="AD25" t="s">
        <v>5108</v>
      </c>
      <c r="AF25" t="s">
        <v>5109</v>
      </c>
      <c r="AJ25" t="s">
        <v>98</v>
      </c>
      <c r="BV25" t="s">
        <v>5102</v>
      </c>
    </row>
    <row r="26" spans="1:74" x14ac:dyDescent="0.2">
      <c r="A26" t="s">
        <v>7034</v>
      </c>
      <c r="B26" t="s">
        <v>6658</v>
      </c>
      <c r="C26" t="s">
        <v>4414</v>
      </c>
      <c r="D26" t="s">
        <v>102</v>
      </c>
      <c r="E26">
        <v>2016</v>
      </c>
      <c r="F26" t="s">
        <v>4415</v>
      </c>
      <c r="G26" s="6" t="s">
        <v>4416</v>
      </c>
      <c r="H26" t="s">
        <v>4417</v>
      </c>
      <c r="J26" t="s">
        <v>4418</v>
      </c>
      <c r="K26" t="s">
        <v>4419</v>
      </c>
      <c r="L26" t="s">
        <v>4420</v>
      </c>
      <c r="M26" t="s">
        <v>4421</v>
      </c>
      <c r="N26" t="s">
        <v>4422</v>
      </c>
      <c r="O26" s="1">
        <v>45783.306377314817</v>
      </c>
      <c r="P26" s="1">
        <v>45783.306377314817</v>
      </c>
      <c r="R26" t="s">
        <v>4423</v>
      </c>
      <c r="T26">
        <v>5</v>
      </c>
      <c r="U26">
        <v>20</v>
      </c>
      <c r="AL26" t="s">
        <v>3897</v>
      </c>
      <c r="AP26" t="s">
        <v>4424</v>
      </c>
    </row>
    <row r="27" spans="1:74" x14ac:dyDescent="0.2">
      <c r="A27" t="s">
        <v>6684</v>
      </c>
      <c r="B27" t="s">
        <v>7035</v>
      </c>
      <c r="C27" t="s">
        <v>1633</v>
      </c>
      <c r="D27" t="s">
        <v>477</v>
      </c>
      <c r="E27">
        <v>2022</v>
      </c>
      <c r="F27" t="s">
        <v>1634</v>
      </c>
      <c r="G27" s="6" t="s">
        <v>1635</v>
      </c>
      <c r="H27" t="s">
        <v>1636</v>
      </c>
      <c r="I27" t="s">
        <v>1637</v>
      </c>
      <c r="L27" t="s">
        <v>1638</v>
      </c>
      <c r="M27" t="s">
        <v>1639</v>
      </c>
      <c r="N27">
        <v>2022</v>
      </c>
      <c r="O27" s="1">
        <v>45783.300150462965</v>
      </c>
      <c r="P27" s="1">
        <v>45783.300150462965</v>
      </c>
      <c r="R27" t="s">
        <v>1640</v>
      </c>
      <c r="U27" t="s">
        <v>1641</v>
      </c>
      <c r="X27" t="s">
        <v>1642</v>
      </c>
      <c r="AC27" t="s">
        <v>1643</v>
      </c>
      <c r="AE27" t="s">
        <v>1644</v>
      </c>
      <c r="AH27" t="s">
        <v>646</v>
      </c>
      <c r="AL27" t="s">
        <v>1645</v>
      </c>
      <c r="AP27" t="s">
        <v>1646</v>
      </c>
      <c r="BV27" t="s">
        <v>1647</v>
      </c>
    </row>
    <row r="28" spans="1:74" x14ac:dyDescent="0.2">
      <c r="A28" t="s">
        <v>6684</v>
      </c>
      <c r="B28" t="s">
        <v>7035</v>
      </c>
      <c r="C28" t="s">
        <v>1558</v>
      </c>
      <c r="D28" t="s">
        <v>102</v>
      </c>
      <c r="E28">
        <v>2023</v>
      </c>
      <c r="F28" t="s">
        <v>1559</v>
      </c>
      <c r="G28" s="6" t="s">
        <v>1560</v>
      </c>
      <c r="H28" t="s">
        <v>1561</v>
      </c>
      <c r="J28" t="s">
        <v>1562</v>
      </c>
      <c r="K28" t="s">
        <v>1563</v>
      </c>
      <c r="L28" t="s">
        <v>1564</v>
      </c>
      <c r="M28" t="s">
        <v>1565</v>
      </c>
      <c r="N28">
        <v>2023</v>
      </c>
      <c r="O28" s="1">
        <v>45783.300150462965</v>
      </c>
      <c r="P28" s="1">
        <v>45783.300150462965</v>
      </c>
      <c r="R28" t="s">
        <v>1566</v>
      </c>
      <c r="T28">
        <v>1</v>
      </c>
      <c r="U28">
        <v>42</v>
      </c>
      <c r="W28" t="s">
        <v>1567</v>
      </c>
      <c r="AE28" t="s">
        <v>645</v>
      </c>
      <c r="AH28" t="s">
        <v>646</v>
      </c>
      <c r="AL28" t="s">
        <v>837</v>
      </c>
      <c r="AP28" t="s">
        <v>1568</v>
      </c>
    </row>
    <row r="29" spans="1:74" x14ac:dyDescent="0.2">
      <c r="A29" t="s">
        <v>6684</v>
      </c>
      <c r="B29" t="s">
        <v>6657</v>
      </c>
      <c r="C29" t="s">
        <v>2343</v>
      </c>
      <c r="D29" t="s">
        <v>102</v>
      </c>
      <c r="E29">
        <v>2016</v>
      </c>
      <c r="F29" t="s">
        <v>2344</v>
      </c>
      <c r="G29" s="6" t="s">
        <v>2345</v>
      </c>
      <c r="H29" t="s">
        <v>447</v>
      </c>
      <c r="J29" t="s">
        <v>1151</v>
      </c>
      <c r="K29" t="s">
        <v>2346</v>
      </c>
      <c r="L29" t="s">
        <v>2347</v>
      </c>
      <c r="M29" t="s">
        <v>2348</v>
      </c>
      <c r="N29">
        <v>2016</v>
      </c>
      <c r="O29" s="1">
        <v>45783.300162037034</v>
      </c>
      <c r="P29" s="1">
        <v>45783.392291666663</v>
      </c>
      <c r="R29" t="s">
        <v>2349</v>
      </c>
      <c r="T29">
        <v>18</v>
      </c>
      <c r="U29">
        <v>75</v>
      </c>
      <c r="W29" t="s">
        <v>1155</v>
      </c>
      <c r="AE29" t="s">
        <v>645</v>
      </c>
      <c r="AH29" t="s">
        <v>646</v>
      </c>
      <c r="AL29" t="s">
        <v>2215</v>
      </c>
      <c r="AP29" t="s">
        <v>2350</v>
      </c>
    </row>
    <row r="30" spans="1:74" x14ac:dyDescent="0.2">
      <c r="A30" t="s">
        <v>6684</v>
      </c>
      <c r="B30" t="s">
        <v>7035</v>
      </c>
      <c r="C30" t="s">
        <v>3415</v>
      </c>
      <c r="D30" t="s">
        <v>477</v>
      </c>
      <c r="E30">
        <v>2023</v>
      </c>
      <c r="F30" t="s">
        <v>3416</v>
      </c>
      <c r="G30" s="6" t="s">
        <v>3417</v>
      </c>
      <c r="H30" t="s">
        <v>3418</v>
      </c>
      <c r="I30" t="s">
        <v>3419</v>
      </c>
      <c r="K30" t="s">
        <v>3420</v>
      </c>
      <c r="L30" t="s">
        <v>3421</v>
      </c>
      <c r="M30" t="s">
        <v>3422</v>
      </c>
      <c r="N30">
        <v>2023</v>
      </c>
      <c r="O30" s="1">
        <v>45783.30636574074</v>
      </c>
      <c r="P30" s="1">
        <v>45783.30636574074</v>
      </c>
      <c r="R30" t="s">
        <v>3423</v>
      </c>
      <c r="Y30" t="s">
        <v>3424</v>
      </c>
      <c r="AC30" t="s">
        <v>1167</v>
      </c>
      <c r="AD30" t="s">
        <v>3218</v>
      </c>
      <c r="AL30" t="s">
        <v>3425</v>
      </c>
      <c r="AP30" t="s">
        <v>3426</v>
      </c>
    </row>
    <row r="31" spans="1:74" x14ac:dyDescent="0.2">
      <c r="A31" t="s">
        <v>6684</v>
      </c>
      <c r="B31" t="s">
        <v>7035</v>
      </c>
      <c r="C31" t="s">
        <v>4482</v>
      </c>
      <c r="D31" t="s">
        <v>102</v>
      </c>
      <c r="E31">
        <v>2022</v>
      </c>
      <c r="F31" t="s">
        <v>4483</v>
      </c>
      <c r="G31" s="6" t="s">
        <v>4484</v>
      </c>
      <c r="H31" t="s">
        <v>3430</v>
      </c>
      <c r="J31" t="s">
        <v>3431</v>
      </c>
      <c r="K31" t="s">
        <v>4485</v>
      </c>
      <c r="L31" t="s">
        <v>4486</v>
      </c>
      <c r="N31" t="s">
        <v>4487</v>
      </c>
      <c r="O31" s="1">
        <v>45783.306377314817</v>
      </c>
      <c r="P31" s="1">
        <v>45783.306377314817</v>
      </c>
      <c r="R31" t="s">
        <v>4488</v>
      </c>
      <c r="T31" t="s">
        <v>3283</v>
      </c>
      <c r="U31">
        <v>102</v>
      </c>
      <c r="AL31" t="s">
        <v>3435</v>
      </c>
      <c r="AP31" t="s">
        <v>4489</v>
      </c>
    </row>
    <row r="32" spans="1:74" x14ac:dyDescent="0.2">
      <c r="A32" t="s">
        <v>6684</v>
      </c>
      <c r="B32" t="s">
        <v>7035</v>
      </c>
      <c r="C32" t="s">
        <v>1811</v>
      </c>
      <c r="D32" t="s">
        <v>102</v>
      </c>
      <c r="E32">
        <v>2020</v>
      </c>
      <c r="F32" t="s">
        <v>1812</v>
      </c>
      <c r="G32" s="6" t="s">
        <v>1813</v>
      </c>
      <c r="H32" t="s">
        <v>1814</v>
      </c>
      <c r="J32" t="s">
        <v>1815</v>
      </c>
      <c r="L32" t="s">
        <v>1816</v>
      </c>
      <c r="M32" t="s">
        <v>1817</v>
      </c>
      <c r="N32">
        <v>2020</v>
      </c>
      <c r="O32" s="1">
        <v>45783.300162037034</v>
      </c>
      <c r="P32" s="1">
        <v>45783.300162037034</v>
      </c>
      <c r="R32" t="s">
        <v>1818</v>
      </c>
      <c r="U32">
        <v>18</v>
      </c>
      <c r="W32" t="s">
        <v>1819</v>
      </c>
      <c r="AE32" t="s">
        <v>645</v>
      </c>
      <c r="AH32" t="s">
        <v>646</v>
      </c>
      <c r="AL32" t="s">
        <v>1820</v>
      </c>
      <c r="AP32" t="s">
        <v>1821</v>
      </c>
    </row>
    <row r="33" spans="1:74" x14ac:dyDescent="0.2">
      <c r="A33" t="s">
        <v>6684</v>
      </c>
      <c r="B33" t="s">
        <v>6653</v>
      </c>
      <c r="C33" t="s">
        <v>5223</v>
      </c>
      <c r="D33" t="s">
        <v>102</v>
      </c>
      <c r="E33">
        <v>2012</v>
      </c>
      <c r="F33" t="s">
        <v>5224</v>
      </c>
      <c r="G33" s="6" t="s">
        <v>5225</v>
      </c>
      <c r="H33" t="s">
        <v>5226</v>
      </c>
      <c r="J33">
        <v>9535438</v>
      </c>
      <c r="K33" t="s">
        <v>5227</v>
      </c>
      <c r="L33" t="s">
        <v>5228</v>
      </c>
      <c r="N33" t="s">
        <v>5229</v>
      </c>
      <c r="O33" s="1">
        <v>45783.306377314817</v>
      </c>
      <c r="P33" s="1">
        <v>45783.391979166663</v>
      </c>
      <c r="Q33" s="1">
        <v>45783.311215277776</v>
      </c>
      <c r="R33" t="s">
        <v>5230</v>
      </c>
      <c r="T33">
        <v>6</v>
      </c>
      <c r="U33">
        <v>24</v>
      </c>
      <c r="W33" t="s">
        <v>5226</v>
      </c>
      <c r="AE33" t="s">
        <v>97</v>
      </c>
      <c r="AJ33" t="s">
        <v>98</v>
      </c>
      <c r="AP33" t="s">
        <v>5231</v>
      </c>
    </row>
    <row r="34" spans="1:74" x14ac:dyDescent="0.2">
      <c r="A34" t="s">
        <v>6684</v>
      </c>
      <c r="B34" t="s">
        <v>6657</v>
      </c>
      <c r="C34" t="s">
        <v>2793</v>
      </c>
      <c r="D34" t="s">
        <v>102</v>
      </c>
      <c r="E34">
        <v>2010</v>
      </c>
      <c r="F34" t="s">
        <v>2794</v>
      </c>
      <c r="G34" s="6" t="s">
        <v>2795</v>
      </c>
      <c r="H34" t="s">
        <v>2796</v>
      </c>
      <c r="J34" t="s">
        <v>2797</v>
      </c>
      <c r="K34" t="s">
        <v>2798</v>
      </c>
      <c r="L34" t="s">
        <v>2799</v>
      </c>
      <c r="M34" t="s">
        <v>2800</v>
      </c>
      <c r="N34">
        <v>2010</v>
      </c>
      <c r="O34" s="1">
        <v>45783.300162037034</v>
      </c>
      <c r="P34" s="1">
        <v>45783.300162037034</v>
      </c>
      <c r="R34" t="s">
        <v>2801</v>
      </c>
      <c r="T34">
        <v>5</v>
      </c>
      <c r="U34">
        <v>5</v>
      </c>
      <c r="W34" t="s">
        <v>2802</v>
      </c>
      <c r="AE34" t="s">
        <v>645</v>
      </c>
      <c r="AH34" t="s">
        <v>646</v>
      </c>
      <c r="AP34" t="s">
        <v>2803</v>
      </c>
    </row>
    <row r="35" spans="1:74" x14ac:dyDescent="0.2">
      <c r="A35" t="s">
        <v>7034</v>
      </c>
      <c r="B35" t="s">
        <v>7047</v>
      </c>
      <c r="C35" t="s">
        <v>3827</v>
      </c>
      <c r="D35" t="s">
        <v>102</v>
      </c>
      <c r="E35">
        <v>2008</v>
      </c>
      <c r="F35" t="s">
        <v>3828</v>
      </c>
      <c r="G35" s="6" t="s">
        <v>3829</v>
      </c>
      <c r="H35" t="s">
        <v>3830</v>
      </c>
      <c r="M35" t="s">
        <v>3831</v>
      </c>
      <c r="N35" t="s">
        <v>3832</v>
      </c>
      <c r="O35" s="1">
        <v>45783.30636574074</v>
      </c>
      <c r="P35" s="1">
        <v>45783.30636574074</v>
      </c>
      <c r="R35" t="s">
        <v>3833</v>
      </c>
      <c r="T35">
        <v>2</v>
      </c>
      <c r="U35">
        <v>3</v>
      </c>
      <c r="AL35" t="s">
        <v>3834</v>
      </c>
      <c r="AP35" t="s">
        <v>3835</v>
      </c>
    </row>
    <row r="36" spans="1:74" x14ac:dyDescent="0.2">
      <c r="A36" t="s">
        <v>6684</v>
      </c>
      <c r="B36" t="s">
        <v>7035</v>
      </c>
      <c r="C36" t="s">
        <v>3848</v>
      </c>
      <c r="D36" t="s">
        <v>477</v>
      </c>
      <c r="E36">
        <v>2024</v>
      </c>
      <c r="F36" t="s">
        <v>3849</v>
      </c>
      <c r="G36" s="6" t="s">
        <v>6659</v>
      </c>
      <c r="H36" t="s">
        <v>3850</v>
      </c>
      <c r="I36" t="s">
        <v>3851</v>
      </c>
      <c r="K36" t="s">
        <v>3852</v>
      </c>
      <c r="L36" t="s">
        <v>3853</v>
      </c>
      <c r="M36" t="s">
        <v>3854</v>
      </c>
      <c r="N36">
        <v>2024</v>
      </c>
      <c r="O36" s="1">
        <v>45783.30636574074</v>
      </c>
      <c r="P36" s="1">
        <v>45783.30636574074</v>
      </c>
      <c r="R36" t="s">
        <v>3855</v>
      </c>
      <c r="AC36" t="s">
        <v>3194</v>
      </c>
      <c r="AD36" t="s">
        <v>589</v>
      </c>
      <c r="AL36" t="s">
        <v>3195</v>
      </c>
      <c r="AP36" t="s">
        <v>3856</v>
      </c>
    </row>
    <row r="37" spans="1:74" x14ac:dyDescent="0.2">
      <c r="A37" t="s">
        <v>6684</v>
      </c>
      <c r="B37" t="s">
        <v>6657</v>
      </c>
      <c r="C37" t="s">
        <v>1496</v>
      </c>
      <c r="D37" t="s">
        <v>477</v>
      </c>
      <c r="E37">
        <v>2020</v>
      </c>
      <c r="F37" t="s">
        <v>1497</v>
      </c>
      <c r="G37" s="6" t="s">
        <v>1498</v>
      </c>
      <c r="H37" t="s">
        <v>1185</v>
      </c>
      <c r="I37" t="s">
        <v>1499</v>
      </c>
      <c r="K37" t="s">
        <v>1500</v>
      </c>
      <c r="L37" t="s">
        <v>1501</v>
      </c>
      <c r="M37" t="s">
        <v>1502</v>
      </c>
      <c r="N37">
        <v>2020</v>
      </c>
      <c r="O37" s="1">
        <v>45783.300150462965</v>
      </c>
      <c r="P37" s="1">
        <v>45783.300150462965</v>
      </c>
      <c r="R37" t="s">
        <v>1503</v>
      </c>
      <c r="U37" t="s">
        <v>1504</v>
      </c>
      <c r="AC37" t="s">
        <v>787</v>
      </c>
      <c r="AE37" t="s">
        <v>645</v>
      </c>
      <c r="AH37" t="s">
        <v>646</v>
      </c>
      <c r="AL37" t="s">
        <v>1191</v>
      </c>
      <c r="AP37" t="s">
        <v>1505</v>
      </c>
      <c r="AR37" t="s">
        <v>1506</v>
      </c>
      <c r="BV37" t="s">
        <v>1194</v>
      </c>
    </row>
    <row r="38" spans="1:74" x14ac:dyDescent="0.2">
      <c r="A38" t="s">
        <v>6684</v>
      </c>
      <c r="B38" t="s">
        <v>7053</v>
      </c>
      <c r="C38" t="s">
        <v>4211</v>
      </c>
      <c r="D38" t="s">
        <v>477</v>
      </c>
      <c r="E38">
        <v>2021</v>
      </c>
      <c r="F38" t="s">
        <v>4212</v>
      </c>
      <c r="G38" s="6" t="s">
        <v>4213</v>
      </c>
      <c r="H38" t="s">
        <v>4214</v>
      </c>
      <c r="I38" t="s">
        <v>4215</v>
      </c>
      <c r="K38" t="s">
        <v>4216</v>
      </c>
      <c r="L38" t="s">
        <v>4217</v>
      </c>
      <c r="M38" t="s">
        <v>4218</v>
      </c>
      <c r="N38">
        <v>2021</v>
      </c>
      <c r="O38" s="1">
        <v>45783.306377314817</v>
      </c>
      <c r="P38" s="1">
        <v>45783.410844907405</v>
      </c>
      <c r="Y38" t="s">
        <v>4219</v>
      </c>
      <c r="AC38" t="s">
        <v>1167</v>
      </c>
      <c r="AD38" t="s">
        <v>3218</v>
      </c>
      <c r="AL38" t="s">
        <v>4220</v>
      </c>
      <c r="AP38" t="s">
        <v>4221</v>
      </c>
    </row>
    <row r="39" spans="1:74" x14ac:dyDescent="0.2">
      <c r="A39" t="s">
        <v>6684</v>
      </c>
      <c r="B39" t="s">
        <v>7035</v>
      </c>
      <c r="C39" t="s">
        <v>5997</v>
      </c>
      <c r="D39" t="s">
        <v>477</v>
      </c>
      <c r="E39">
        <v>2024</v>
      </c>
      <c r="F39" t="s">
        <v>5998</v>
      </c>
      <c r="G39" s="6" t="s">
        <v>5999</v>
      </c>
      <c r="H39" t="s">
        <v>6000</v>
      </c>
      <c r="I39" t="s">
        <v>6001</v>
      </c>
      <c r="K39" t="s">
        <v>6002</v>
      </c>
      <c r="L39" t="s">
        <v>6003</v>
      </c>
      <c r="N39" s="2">
        <v>45485</v>
      </c>
      <c r="O39" s="1">
        <v>45783.312222222223</v>
      </c>
      <c r="P39" s="1">
        <v>45783.451863425929</v>
      </c>
      <c r="Q39" s="1">
        <v>45783.312222222223</v>
      </c>
      <c r="R39" s="3">
        <v>45839</v>
      </c>
      <c r="AC39" t="s">
        <v>5107</v>
      </c>
      <c r="AD39" t="s">
        <v>6004</v>
      </c>
      <c r="AF39" t="s">
        <v>5109</v>
      </c>
      <c r="AJ39" t="s">
        <v>98</v>
      </c>
      <c r="AP39" t="s">
        <v>6005</v>
      </c>
      <c r="BV39" t="s">
        <v>6000</v>
      </c>
    </row>
    <row r="40" spans="1:74" x14ac:dyDescent="0.2">
      <c r="A40" t="s">
        <v>6684</v>
      </c>
      <c r="B40" t="s">
        <v>7035</v>
      </c>
      <c r="C40" t="s">
        <v>6206</v>
      </c>
      <c r="D40" t="s">
        <v>102</v>
      </c>
      <c r="E40">
        <v>2023</v>
      </c>
      <c r="F40" t="s">
        <v>6207</v>
      </c>
      <c r="G40" s="6" t="s">
        <v>6208</v>
      </c>
      <c r="H40" t="s">
        <v>6114</v>
      </c>
      <c r="J40" t="s">
        <v>6115</v>
      </c>
      <c r="K40" t="s">
        <v>6209</v>
      </c>
      <c r="L40" t="s">
        <v>6210</v>
      </c>
      <c r="N40">
        <v>2023</v>
      </c>
      <c r="O40" s="1">
        <v>45783.312893518516</v>
      </c>
      <c r="P40" s="1">
        <v>45783.312893518516</v>
      </c>
      <c r="Q40" s="1">
        <v>45783.312893518516</v>
      </c>
      <c r="R40" t="s">
        <v>6211</v>
      </c>
      <c r="U40">
        <v>11</v>
      </c>
      <c r="W40" t="s">
        <v>6114</v>
      </c>
      <c r="AF40" t="s">
        <v>6120</v>
      </c>
      <c r="AJ40" t="s">
        <v>98</v>
      </c>
      <c r="AN40" t="s">
        <v>6212</v>
      </c>
    </row>
    <row r="41" spans="1:74" x14ac:dyDescent="0.2">
      <c r="A41" t="s">
        <v>6684</v>
      </c>
      <c r="B41" t="s">
        <v>7035</v>
      </c>
      <c r="C41" t="s">
        <v>417</v>
      </c>
      <c r="D41" t="s">
        <v>88</v>
      </c>
      <c r="E41">
        <v>2022</v>
      </c>
      <c r="F41" t="s">
        <v>418</v>
      </c>
      <c r="G41" s="6" t="s">
        <v>419</v>
      </c>
      <c r="H41" t="s">
        <v>420</v>
      </c>
      <c r="I41" t="s">
        <v>421</v>
      </c>
      <c r="L41" t="s">
        <v>422</v>
      </c>
      <c r="N41">
        <v>2022</v>
      </c>
      <c r="O41" s="1">
        <v>45783.293379629627</v>
      </c>
      <c r="P41" s="1">
        <v>45783.293379629627</v>
      </c>
      <c r="Q41" s="1">
        <v>45783.293379629627</v>
      </c>
      <c r="R41" t="s">
        <v>423</v>
      </c>
      <c r="U41">
        <v>13484</v>
      </c>
      <c r="AC41" t="s">
        <v>262</v>
      </c>
      <c r="AD41" t="s">
        <v>96</v>
      </c>
      <c r="AE41" t="s">
        <v>97</v>
      </c>
      <c r="AJ41" t="s">
        <v>98</v>
      </c>
      <c r="AL41" t="s">
        <v>424</v>
      </c>
      <c r="AN41" t="s">
        <v>425</v>
      </c>
      <c r="AR41" t="s">
        <v>426</v>
      </c>
    </row>
    <row r="42" spans="1:74" x14ac:dyDescent="0.2">
      <c r="A42" t="s">
        <v>6684</v>
      </c>
      <c r="B42" t="s">
        <v>7050</v>
      </c>
      <c r="C42" t="s">
        <v>5565</v>
      </c>
      <c r="D42" t="s">
        <v>477</v>
      </c>
      <c r="E42">
        <v>2020</v>
      </c>
      <c r="F42" t="s">
        <v>5566</v>
      </c>
      <c r="G42" s="6" t="s">
        <v>5567</v>
      </c>
      <c r="H42" t="s">
        <v>5568</v>
      </c>
      <c r="I42" t="s">
        <v>5569</v>
      </c>
      <c r="K42" t="s">
        <v>5570</v>
      </c>
      <c r="L42" t="s">
        <v>5571</v>
      </c>
      <c r="N42" t="s">
        <v>5572</v>
      </c>
      <c r="O42" s="1">
        <v>45783.311597222222</v>
      </c>
      <c r="P42" s="1">
        <v>45783.311597222222</v>
      </c>
      <c r="Q42" s="1">
        <v>45783.311597222222</v>
      </c>
      <c r="R42" t="s">
        <v>5573</v>
      </c>
      <c r="AC42" t="s">
        <v>5107</v>
      </c>
      <c r="AD42" t="s">
        <v>5574</v>
      </c>
      <c r="AF42" t="s">
        <v>5140</v>
      </c>
      <c r="AJ42" t="s">
        <v>98</v>
      </c>
      <c r="AN42" t="s">
        <v>5575</v>
      </c>
      <c r="BV42" t="s">
        <v>5568</v>
      </c>
    </row>
    <row r="43" spans="1:74" x14ac:dyDescent="0.2">
      <c r="A43" t="s">
        <v>6684</v>
      </c>
      <c r="B43" t="s">
        <v>7035</v>
      </c>
      <c r="C43" t="s">
        <v>1084</v>
      </c>
      <c r="D43" t="s">
        <v>102</v>
      </c>
      <c r="E43">
        <v>2024</v>
      </c>
      <c r="F43" t="s">
        <v>1085</v>
      </c>
      <c r="G43" s="6" t="s">
        <v>1086</v>
      </c>
      <c r="H43" t="s">
        <v>1087</v>
      </c>
      <c r="J43" t="s">
        <v>1088</v>
      </c>
      <c r="K43" t="s">
        <v>1089</v>
      </c>
      <c r="L43" t="s">
        <v>1090</v>
      </c>
      <c r="M43" t="s">
        <v>1091</v>
      </c>
      <c r="N43">
        <v>2024</v>
      </c>
      <c r="O43" s="1">
        <v>45783.300150462965</v>
      </c>
      <c r="P43" s="1">
        <v>45783.300150462965</v>
      </c>
      <c r="U43">
        <v>255</v>
      </c>
      <c r="W43" t="s">
        <v>1092</v>
      </c>
      <c r="AE43" t="s">
        <v>645</v>
      </c>
      <c r="AH43" t="s">
        <v>646</v>
      </c>
      <c r="AL43" t="s">
        <v>815</v>
      </c>
      <c r="AP43" t="s">
        <v>1093</v>
      </c>
    </row>
    <row r="44" spans="1:74" x14ac:dyDescent="0.2">
      <c r="A44" t="s">
        <v>6684</v>
      </c>
      <c r="B44" t="s">
        <v>7040</v>
      </c>
      <c r="C44" t="s">
        <v>3098</v>
      </c>
      <c r="D44" t="s">
        <v>102</v>
      </c>
      <c r="E44">
        <v>2002</v>
      </c>
      <c r="F44" t="s">
        <v>3099</v>
      </c>
      <c r="G44" s="6" t="s">
        <v>3100</v>
      </c>
      <c r="H44" t="s">
        <v>3101</v>
      </c>
      <c r="J44" t="s">
        <v>3102</v>
      </c>
      <c r="K44" t="s">
        <v>3103</v>
      </c>
      <c r="L44" t="s">
        <v>3104</v>
      </c>
      <c r="M44" t="s">
        <v>3105</v>
      </c>
      <c r="N44">
        <v>2002</v>
      </c>
      <c r="O44" s="1">
        <v>45783.300173611111</v>
      </c>
      <c r="P44" s="1">
        <v>45783.300173611111</v>
      </c>
      <c r="R44" t="s">
        <v>3106</v>
      </c>
      <c r="T44">
        <v>2</v>
      </c>
      <c r="U44">
        <v>28</v>
      </c>
      <c r="W44" t="s">
        <v>3107</v>
      </c>
      <c r="AE44" t="s">
        <v>645</v>
      </c>
      <c r="AH44" t="s">
        <v>646</v>
      </c>
      <c r="AP44" t="s">
        <v>3108</v>
      </c>
    </row>
    <row r="45" spans="1:74" x14ac:dyDescent="0.2">
      <c r="A45" t="s">
        <v>7034</v>
      </c>
      <c r="B45" t="s">
        <v>6658</v>
      </c>
      <c r="C45" t="s">
        <v>6230</v>
      </c>
      <c r="D45" t="s">
        <v>477</v>
      </c>
      <c r="E45">
        <v>2015</v>
      </c>
      <c r="F45" t="s">
        <v>6231</v>
      </c>
      <c r="G45" s="6" t="s">
        <v>6232</v>
      </c>
      <c r="H45" t="s">
        <v>6233</v>
      </c>
      <c r="I45" t="s">
        <v>6234</v>
      </c>
      <c r="K45" t="s">
        <v>6235</v>
      </c>
      <c r="L45" t="s">
        <v>6236</v>
      </c>
      <c r="N45" t="s">
        <v>6194</v>
      </c>
      <c r="O45" s="1">
        <v>45783.313379629632</v>
      </c>
      <c r="P45" s="1">
        <v>45783.313379629632</v>
      </c>
      <c r="Q45" s="1">
        <v>45783.313379629632</v>
      </c>
      <c r="R45" t="s">
        <v>6237</v>
      </c>
      <c r="X45" t="s">
        <v>6238</v>
      </c>
      <c r="AC45" t="s">
        <v>5107</v>
      </c>
      <c r="AD45" t="s">
        <v>6239</v>
      </c>
      <c r="AJ45" t="s">
        <v>98</v>
      </c>
      <c r="BV45" t="s">
        <v>6233</v>
      </c>
    </row>
    <row r="46" spans="1:74" x14ac:dyDescent="0.2">
      <c r="A46" t="s">
        <v>6684</v>
      </c>
      <c r="B46" t="s">
        <v>7035</v>
      </c>
      <c r="C46" t="s">
        <v>5979</v>
      </c>
      <c r="D46" t="s">
        <v>477</v>
      </c>
      <c r="E46">
        <v>2018</v>
      </c>
      <c r="F46" t="s">
        <v>5980</v>
      </c>
      <c r="G46" s="6" t="s">
        <v>5981</v>
      </c>
      <c r="H46" t="s">
        <v>5982</v>
      </c>
      <c r="I46" t="s">
        <v>5983</v>
      </c>
      <c r="K46" t="s">
        <v>5984</v>
      </c>
      <c r="L46" t="s">
        <v>5985</v>
      </c>
      <c r="N46" t="s">
        <v>5639</v>
      </c>
      <c r="O46" s="1">
        <v>45783.312210648146</v>
      </c>
      <c r="P46" s="1">
        <v>45783.312210648146</v>
      </c>
      <c r="Q46" s="1">
        <v>45783.312210648146</v>
      </c>
      <c r="R46" s="3">
        <v>45901</v>
      </c>
      <c r="X46" t="s">
        <v>5986</v>
      </c>
      <c r="AC46" t="s">
        <v>5107</v>
      </c>
      <c r="AD46" t="s">
        <v>5987</v>
      </c>
      <c r="AJ46" t="s">
        <v>98</v>
      </c>
      <c r="BV46" t="s">
        <v>5982</v>
      </c>
    </row>
    <row r="47" spans="1:74" x14ac:dyDescent="0.2">
      <c r="A47" t="s">
        <v>6684</v>
      </c>
      <c r="B47" t="s">
        <v>6657</v>
      </c>
      <c r="C47" t="s">
        <v>2439</v>
      </c>
      <c r="D47" t="s">
        <v>102</v>
      </c>
      <c r="E47">
        <v>2017</v>
      </c>
      <c r="F47" t="s">
        <v>2440</v>
      </c>
      <c r="G47" s="6" t="s">
        <v>2441</v>
      </c>
      <c r="H47" t="s">
        <v>2442</v>
      </c>
      <c r="J47" t="s">
        <v>2443</v>
      </c>
      <c r="K47" t="s">
        <v>2444</v>
      </c>
      <c r="L47" t="s">
        <v>2445</v>
      </c>
      <c r="M47" t="s">
        <v>2446</v>
      </c>
      <c r="N47">
        <v>2017</v>
      </c>
      <c r="O47" s="1">
        <v>45783.300162037034</v>
      </c>
      <c r="P47" s="1">
        <v>45783.300162037034</v>
      </c>
      <c r="R47" t="s">
        <v>2447</v>
      </c>
      <c r="T47">
        <v>3</v>
      </c>
      <c r="U47">
        <v>59</v>
      </c>
      <c r="W47" t="s">
        <v>2448</v>
      </c>
      <c r="AE47" t="s">
        <v>645</v>
      </c>
      <c r="AH47" t="s">
        <v>646</v>
      </c>
      <c r="AL47" t="s">
        <v>2449</v>
      </c>
      <c r="AP47" t="s">
        <v>2450</v>
      </c>
    </row>
    <row r="48" spans="1:74" x14ac:dyDescent="0.2">
      <c r="A48" t="s">
        <v>6684</v>
      </c>
      <c r="B48" t="s">
        <v>6657</v>
      </c>
      <c r="C48" t="s">
        <v>4768</v>
      </c>
      <c r="D48" t="s">
        <v>102</v>
      </c>
      <c r="E48">
        <v>2013</v>
      </c>
      <c r="F48" t="s">
        <v>4769</v>
      </c>
      <c r="G48" s="6" t="s">
        <v>4770</v>
      </c>
      <c r="H48" t="s">
        <v>3289</v>
      </c>
      <c r="J48" t="s">
        <v>3290</v>
      </c>
      <c r="K48" t="s">
        <v>4771</v>
      </c>
      <c r="L48" t="s">
        <v>4772</v>
      </c>
      <c r="M48" t="s">
        <v>4773</v>
      </c>
      <c r="N48" t="s">
        <v>4774</v>
      </c>
      <c r="O48" s="1">
        <v>45783.306377314817</v>
      </c>
      <c r="P48" s="1">
        <v>45783.306377314817</v>
      </c>
      <c r="T48">
        <v>4</v>
      </c>
      <c r="U48">
        <v>5</v>
      </c>
      <c r="AL48" t="s">
        <v>3263</v>
      </c>
      <c r="AP48" t="s">
        <v>4775</v>
      </c>
    </row>
    <row r="49" spans="1:74" x14ac:dyDescent="0.2">
      <c r="A49" t="s">
        <v>6684</v>
      </c>
      <c r="B49" t="s">
        <v>6685</v>
      </c>
      <c r="C49" t="s">
        <v>2915</v>
      </c>
      <c r="D49" t="s">
        <v>477</v>
      </c>
      <c r="E49">
        <v>2019</v>
      </c>
      <c r="F49" t="s">
        <v>2916</v>
      </c>
      <c r="G49" s="6" t="s">
        <v>2917</v>
      </c>
      <c r="H49" t="s">
        <v>2918</v>
      </c>
      <c r="I49" t="s">
        <v>2919</v>
      </c>
      <c r="K49" t="s">
        <v>2920</v>
      </c>
      <c r="L49" t="s">
        <v>2921</v>
      </c>
      <c r="M49" t="s">
        <v>2922</v>
      </c>
      <c r="N49">
        <v>2019</v>
      </c>
      <c r="O49" s="1">
        <v>45783.300173611111</v>
      </c>
      <c r="P49" s="1">
        <v>45783.300173611111</v>
      </c>
      <c r="R49" t="s">
        <v>2923</v>
      </c>
      <c r="AC49" t="s">
        <v>801</v>
      </c>
      <c r="AE49" t="s">
        <v>645</v>
      </c>
      <c r="AH49" t="s">
        <v>646</v>
      </c>
      <c r="AL49" t="s">
        <v>2924</v>
      </c>
      <c r="AP49" t="s">
        <v>2925</v>
      </c>
      <c r="BV49" t="s">
        <v>2926</v>
      </c>
    </row>
    <row r="50" spans="1:74" x14ac:dyDescent="0.2">
      <c r="A50" t="s">
        <v>6684</v>
      </c>
      <c r="B50" t="s">
        <v>7035</v>
      </c>
      <c r="C50" t="s">
        <v>1780</v>
      </c>
      <c r="D50" t="s">
        <v>102</v>
      </c>
      <c r="E50">
        <v>2022</v>
      </c>
      <c r="F50" t="s">
        <v>1781</v>
      </c>
      <c r="G50" s="6" t="s">
        <v>1782</v>
      </c>
      <c r="H50" t="s">
        <v>820</v>
      </c>
      <c r="J50" t="s">
        <v>821</v>
      </c>
      <c r="K50" t="s">
        <v>1783</v>
      </c>
      <c r="L50" t="s">
        <v>1784</v>
      </c>
      <c r="M50" t="s">
        <v>1785</v>
      </c>
      <c r="N50">
        <v>2022</v>
      </c>
      <c r="O50" s="1">
        <v>45783.300162037034</v>
      </c>
      <c r="P50" s="1">
        <v>45783.300162037034</v>
      </c>
      <c r="T50">
        <v>2</v>
      </c>
      <c r="U50">
        <v>12</v>
      </c>
      <c r="W50" t="s">
        <v>825</v>
      </c>
      <c r="AE50" t="s">
        <v>645</v>
      </c>
      <c r="AH50" t="s">
        <v>646</v>
      </c>
      <c r="AL50" t="s">
        <v>1524</v>
      </c>
      <c r="AP50" t="s">
        <v>1786</v>
      </c>
    </row>
    <row r="51" spans="1:74" x14ac:dyDescent="0.2">
      <c r="A51" t="s">
        <v>6684</v>
      </c>
      <c r="B51" t="s">
        <v>7035</v>
      </c>
      <c r="C51" t="s">
        <v>3561</v>
      </c>
      <c r="D51" t="s">
        <v>477</v>
      </c>
      <c r="E51">
        <v>2021</v>
      </c>
      <c r="F51" t="s">
        <v>3562</v>
      </c>
      <c r="G51" s="6" t="s">
        <v>3563</v>
      </c>
      <c r="H51" t="s">
        <v>3564</v>
      </c>
      <c r="I51" t="s">
        <v>3565</v>
      </c>
      <c r="K51" t="s">
        <v>3566</v>
      </c>
      <c r="L51" t="s">
        <v>3567</v>
      </c>
      <c r="M51" t="s">
        <v>3568</v>
      </c>
      <c r="N51">
        <v>2021</v>
      </c>
      <c r="O51" s="1">
        <v>45783.293530092589</v>
      </c>
      <c r="P51" s="1">
        <v>45784.349768518521</v>
      </c>
      <c r="R51" t="s">
        <v>3569</v>
      </c>
      <c r="U51">
        <v>12980</v>
      </c>
      <c r="X51" t="s">
        <v>3570</v>
      </c>
      <c r="AC51" t="s">
        <v>3194</v>
      </c>
      <c r="AD51" t="s">
        <v>589</v>
      </c>
      <c r="AP51" t="s">
        <v>3571</v>
      </c>
    </row>
    <row r="52" spans="1:74" x14ac:dyDescent="0.2">
      <c r="A52" t="s">
        <v>6684</v>
      </c>
      <c r="B52" t="s">
        <v>7035</v>
      </c>
      <c r="C52" t="s">
        <v>3986</v>
      </c>
      <c r="D52" t="s">
        <v>102</v>
      </c>
      <c r="E52">
        <v>2024</v>
      </c>
      <c r="F52" t="s">
        <v>3987</v>
      </c>
      <c r="G52" s="6" t="s">
        <v>3988</v>
      </c>
      <c r="H52" t="s">
        <v>105</v>
      </c>
      <c r="J52" t="s">
        <v>3989</v>
      </c>
      <c r="K52" t="s">
        <v>3990</v>
      </c>
      <c r="L52" t="s">
        <v>3991</v>
      </c>
      <c r="M52" t="s">
        <v>3992</v>
      </c>
      <c r="N52" t="s">
        <v>3993</v>
      </c>
      <c r="O52" s="1">
        <v>45783.306377314817</v>
      </c>
      <c r="P52" s="1">
        <v>45783.306377314817</v>
      </c>
      <c r="R52" t="s">
        <v>3994</v>
      </c>
      <c r="T52">
        <v>12</v>
      </c>
      <c r="U52">
        <v>29</v>
      </c>
      <c r="AL52" t="s">
        <v>3412</v>
      </c>
      <c r="AP52" t="s">
        <v>3995</v>
      </c>
    </row>
    <row r="53" spans="1:74" x14ac:dyDescent="0.2">
      <c r="A53" t="s">
        <v>7034</v>
      </c>
      <c r="B53" t="s">
        <v>6669</v>
      </c>
      <c r="C53" t="s">
        <v>2035</v>
      </c>
      <c r="D53" t="s">
        <v>477</v>
      </c>
      <c r="E53">
        <v>2020</v>
      </c>
      <c r="F53" t="s">
        <v>1486</v>
      </c>
      <c r="G53" s="6" t="s">
        <v>2036</v>
      </c>
      <c r="H53" t="s">
        <v>2037</v>
      </c>
      <c r="I53" t="s">
        <v>2038</v>
      </c>
      <c r="K53" t="s">
        <v>2039</v>
      </c>
      <c r="L53" t="s">
        <v>2040</v>
      </c>
      <c r="M53" t="s">
        <v>2041</v>
      </c>
      <c r="N53">
        <v>2020</v>
      </c>
      <c r="O53" s="1">
        <v>45783.300162037034</v>
      </c>
      <c r="P53" s="1">
        <v>45783.300162037034</v>
      </c>
      <c r="AC53" t="s">
        <v>681</v>
      </c>
      <c r="AE53" t="s">
        <v>645</v>
      </c>
      <c r="AH53" t="s">
        <v>646</v>
      </c>
      <c r="AL53" t="s">
        <v>2042</v>
      </c>
      <c r="AP53" t="s">
        <v>2043</v>
      </c>
      <c r="BV53" t="s">
        <v>2044</v>
      </c>
    </row>
    <row r="54" spans="1:74" x14ac:dyDescent="0.2">
      <c r="A54" t="s">
        <v>7034</v>
      </c>
      <c r="B54" t="s">
        <v>7048</v>
      </c>
      <c r="C54" t="s">
        <v>5023</v>
      </c>
      <c r="D54" t="s">
        <v>477</v>
      </c>
      <c r="E54">
        <v>2001</v>
      </c>
      <c r="F54" t="s">
        <v>5024</v>
      </c>
      <c r="G54" s="6" t="s">
        <v>5025</v>
      </c>
      <c r="H54" t="s">
        <v>5026</v>
      </c>
      <c r="I54" t="s">
        <v>5027</v>
      </c>
      <c r="M54" t="s">
        <v>5028</v>
      </c>
      <c r="N54">
        <v>2001</v>
      </c>
      <c r="O54" s="1">
        <v>45783.306388888886</v>
      </c>
      <c r="P54" s="1">
        <v>45783.306388888886</v>
      </c>
      <c r="R54">
        <v>77</v>
      </c>
      <c r="Y54" t="s">
        <v>5029</v>
      </c>
      <c r="AC54" t="s">
        <v>1895</v>
      </c>
      <c r="AD54" t="s">
        <v>3867</v>
      </c>
      <c r="AP54" t="s">
        <v>5030</v>
      </c>
    </row>
    <row r="55" spans="1:74" x14ac:dyDescent="0.2">
      <c r="A55" t="s">
        <v>7034</v>
      </c>
      <c r="B55" t="s">
        <v>7047</v>
      </c>
      <c r="C55" t="s">
        <v>874</v>
      </c>
      <c r="D55" t="s">
        <v>102</v>
      </c>
      <c r="E55">
        <v>2024</v>
      </c>
      <c r="F55" t="s">
        <v>875</v>
      </c>
      <c r="G55" s="6" t="s">
        <v>876</v>
      </c>
      <c r="H55" t="s">
        <v>877</v>
      </c>
      <c r="J55" t="s">
        <v>878</v>
      </c>
      <c r="K55" t="s">
        <v>879</v>
      </c>
      <c r="L55" t="s">
        <v>880</v>
      </c>
      <c r="M55" t="s">
        <v>881</v>
      </c>
      <c r="N55">
        <v>2024</v>
      </c>
      <c r="O55" s="1">
        <v>45783.300150462965</v>
      </c>
      <c r="P55" s="1">
        <v>45783.300150462965</v>
      </c>
      <c r="U55">
        <v>190</v>
      </c>
      <c r="W55" t="s">
        <v>882</v>
      </c>
      <c r="AE55" t="s">
        <v>645</v>
      </c>
      <c r="AH55" t="s">
        <v>646</v>
      </c>
      <c r="AL55" t="s">
        <v>883</v>
      </c>
      <c r="AP55" t="s">
        <v>884</v>
      </c>
    </row>
    <row r="56" spans="1:74" x14ac:dyDescent="0.2">
      <c r="A56" t="s">
        <v>6684</v>
      </c>
      <c r="B56" t="s">
        <v>7035</v>
      </c>
      <c r="C56" t="s">
        <v>1342</v>
      </c>
      <c r="D56" t="s">
        <v>102</v>
      </c>
      <c r="E56">
        <v>2024</v>
      </c>
      <c r="F56" t="s">
        <v>1343</v>
      </c>
      <c r="G56" s="6" t="s">
        <v>1344</v>
      </c>
      <c r="H56" t="s">
        <v>1345</v>
      </c>
      <c r="J56" t="s">
        <v>1346</v>
      </c>
      <c r="K56" t="s">
        <v>1347</v>
      </c>
      <c r="L56" t="s">
        <v>1348</v>
      </c>
      <c r="M56" t="s">
        <v>1349</v>
      </c>
      <c r="N56">
        <v>2024</v>
      </c>
      <c r="O56" s="1">
        <v>45783.300150462965</v>
      </c>
      <c r="P56" s="1">
        <v>45783.300150462965</v>
      </c>
      <c r="T56">
        <v>1</v>
      </c>
      <c r="U56">
        <v>24</v>
      </c>
      <c r="W56" t="s">
        <v>1350</v>
      </c>
      <c r="AE56" t="s">
        <v>645</v>
      </c>
      <c r="AH56" t="s">
        <v>646</v>
      </c>
      <c r="AL56" t="s">
        <v>1008</v>
      </c>
      <c r="AP56" t="s">
        <v>1351</v>
      </c>
    </row>
    <row r="57" spans="1:74" x14ac:dyDescent="0.2">
      <c r="A57" t="s">
        <v>6684</v>
      </c>
      <c r="B57" t="s">
        <v>7035</v>
      </c>
      <c r="C57" t="s">
        <v>193</v>
      </c>
      <c r="D57" t="s">
        <v>102</v>
      </c>
      <c r="E57">
        <v>2023</v>
      </c>
      <c r="F57" t="s">
        <v>194</v>
      </c>
      <c r="G57" s="6" t="s">
        <v>195</v>
      </c>
      <c r="H57" t="s">
        <v>196</v>
      </c>
      <c r="J57" t="s">
        <v>197</v>
      </c>
      <c r="K57" t="s">
        <v>198</v>
      </c>
      <c r="L57" t="s">
        <v>199</v>
      </c>
      <c r="M57" t="s">
        <v>200</v>
      </c>
      <c r="N57" s="2">
        <v>45205</v>
      </c>
      <c r="O57" s="1">
        <v>45783.293090277781</v>
      </c>
      <c r="P57" s="1">
        <v>45783.293090277781</v>
      </c>
      <c r="Q57" s="1">
        <v>45783.293090277781</v>
      </c>
      <c r="R57">
        <v>67</v>
      </c>
      <c r="T57">
        <v>1</v>
      </c>
      <c r="U57">
        <v>16</v>
      </c>
      <c r="W57" t="s">
        <v>201</v>
      </c>
      <c r="AE57" t="s">
        <v>97</v>
      </c>
      <c r="AJ57" t="s">
        <v>98</v>
      </c>
      <c r="AN57" t="s">
        <v>202</v>
      </c>
    </row>
    <row r="58" spans="1:74" x14ac:dyDescent="0.2">
      <c r="A58" t="s">
        <v>6684</v>
      </c>
      <c r="B58" t="s">
        <v>7035</v>
      </c>
      <c r="C58" t="s">
        <v>3572</v>
      </c>
      <c r="D58" t="s">
        <v>477</v>
      </c>
      <c r="E58">
        <v>2020</v>
      </c>
      <c r="F58" t="s">
        <v>3573</v>
      </c>
      <c r="G58" s="6" t="s">
        <v>3574</v>
      </c>
      <c r="H58" t="s">
        <v>3575</v>
      </c>
      <c r="I58" t="s">
        <v>3576</v>
      </c>
      <c r="K58" t="s">
        <v>3577</v>
      </c>
      <c r="L58" t="s">
        <v>3578</v>
      </c>
      <c r="M58" t="s">
        <v>3579</v>
      </c>
      <c r="N58">
        <v>2020</v>
      </c>
      <c r="O58" s="1">
        <v>45783.293541666666</v>
      </c>
      <c r="P58" s="1">
        <v>45784.330023148148</v>
      </c>
      <c r="R58" t="s">
        <v>3580</v>
      </c>
      <c r="AC58" t="s">
        <v>3194</v>
      </c>
      <c r="AD58" t="s">
        <v>589</v>
      </c>
      <c r="AL58" t="s">
        <v>3369</v>
      </c>
      <c r="AN58" t="s">
        <v>3581</v>
      </c>
      <c r="AP58" t="s">
        <v>3582</v>
      </c>
    </row>
    <row r="59" spans="1:74" x14ac:dyDescent="0.2">
      <c r="A59" t="s">
        <v>6684</v>
      </c>
      <c r="B59" t="s">
        <v>7035</v>
      </c>
      <c r="C59" t="s">
        <v>5893</v>
      </c>
      <c r="D59" t="s">
        <v>477</v>
      </c>
      <c r="E59">
        <v>2018</v>
      </c>
      <c r="F59" t="s">
        <v>5894</v>
      </c>
      <c r="G59" s="6" t="s">
        <v>5895</v>
      </c>
      <c r="H59" t="s">
        <v>5896</v>
      </c>
      <c r="I59" t="s">
        <v>5897</v>
      </c>
      <c r="K59" t="s">
        <v>5898</v>
      </c>
      <c r="L59" t="s">
        <v>5899</v>
      </c>
      <c r="N59" t="s">
        <v>5639</v>
      </c>
      <c r="O59" s="1">
        <v>45783.312048611115</v>
      </c>
      <c r="P59" s="1">
        <v>45783.312048611115</v>
      </c>
      <c r="Q59" s="1">
        <v>45783.312048611115</v>
      </c>
      <c r="R59" s="3">
        <v>45778</v>
      </c>
      <c r="AC59" t="s">
        <v>5107</v>
      </c>
      <c r="AD59" t="s">
        <v>5900</v>
      </c>
      <c r="AJ59" t="s">
        <v>98</v>
      </c>
      <c r="BV59" t="s">
        <v>5896</v>
      </c>
    </row>
    <row r="60" spans="1:74" x14ac:dyDescent="0.2">
      <c r="A60" t="s">
        <v>6684</v>
      </c>
      <c r="B60" t="s">
        <v>7035</v>
      </c>
      <c r="C60" t="s">
        <v>4026</v>
      </c>
      <c r="D60" t="s">
        <v>477</v>
      </c>
      <c r="E60">
        <v>2018</v>
      </c>
      <c r="F60" t="s">
        <v>4027</v>
      </c>
      <c r="G60" s="6" t="s">
        <v>4028</v>
      </c>
      <c r="H60" t="s">
        <v>4029</v>
      </c>
      <c r="I60" t="s">
        <v>4030</v>
      </c>
      <c r="K60" t="s">
        <v>4031</v>
      </c>
      <c r="L60" t="s">
        <v>4032</v>
      </c>
      <c r="M60" t="s">
        <v>4033</v>
      </c>
      <c r="N60">
        <v>2018</v>
      </c>
      <c r="O60" s="1">
        <v>45783.306377314817</v>
      </c>
      <c r="P60" s="1">
        <v>45783.306377314817</v>
      </c>
      <c r="Y60" t="s">
        <v>4034</v>
      </c>
      <c r="AC60" t="s">
        <v>1167</v>
      </c>
      <c r="AD60" t="s">
        <v>3218</v>
      </c>
      <c r="AL60" t="s">
        <v>4035</v>
      </c>
      <c r="AP60" t="s">
        <v>4036</v>
      </c>
    </row>
    <row r="61" spans="1:74" x14ac:dyDescent="0.2">
      <c r="A61" t="s">
        <v>7034</v>
      </c>
      <c r="B61" t="s">
        <v>6666</v>
      </c>
      <c r="C61" t="s">
        <v>5191</v>
      </c>
      <c r="D61" t="s">
        <v>477</v>
      </c>
      <c r="E61">
        <v>2020</v>
      </c>
      <c r="F61" t="s">
        <v>5192</v>
      </c>
      <c r="G61" s="6" t="s">
        <v>5193</v>
      </c>
      <c r="H61" t="s">
        <v>5194</v>
      </c>
      <c r="I61" t="s">
        <v>5195</v>
      </c>
      <c r="K61" t="s">
        <v>5196</v>
      </c>
      <c r="L61" t="s">
        <v>5197</v>
      </c>
      <c r="N61" t="s">
        <v>5198</v>
      </c>
      <c r="O61" s="1">
        <v>45783.311180555553</v>
      </c>
      <c r="P61" s="1">
        <v>45783.382476851853</v>
      </c>
      <c r="Q61" s="1">
        <v>45783.311180555553</v>
      </c>
      <c r="R61" t="s">
        <v>5199</v>
      </c>
      <c r="AC61" t="s">
        <v>5107</v>
      </c>
      <c r="AD61" t="s">
        <v>5200</v>
      </c>
      <c r="AF61" t="s">
        <v>5140</v>
      </c>
      <c r="AJ61" t="s">
        <v>98</v>
      </c>
      <c r="AN61" t="s">
        <v>5201</v>
      </c>
      <c r="AP61" t="s">
        <v>5202</v>
      </c>
      <c r="BV61" t="s">
        <v>5194</v>
      </c>
    </row>
    <row r="62" spans="1:74" x14ac:dyDescent="0.2">
      <c r="A62" t="s">
        <v>7034</v>
      </c>
      <c r="B62" t="s">
        <v>7048</v>
      </c>
      <c r="C62" t="s">
        <v>885</v>
      </c>
      <c r="D62" t="s">
        <v>102</v>
      </c>
      <c r="E62">
        <v>2024</v>
      </c>
      <c r="F62" t="s">
        <v>886</v>
      </c>
      <c r="G62" s="6" t="s">
        <v>887</v>
      </c>
      <c r="H62" t="s">
        <v>888</v>
      </c>
      <c r="J62" t="s">
        <v>889</v>
      </c>
      <c r="K62" t="s">
        <v>890</v>
      </c>
      <c r="L62" t="s">
        <v>891</v>
      </c>
      <c r="M62" t="s">
        <v>892</v>
      </c>
      <c r="N62">
        <v>2024</v>
      </c>
      <c r="O62" s="1">
        <v>45783.300150462965</v>
      </c>
      <c r="P62" s="1">
        <v>45783.300150462965</v>
      </c>
      <c r="T62">
        <v>1</v>
      </c>
      <c r="U62">
        <v>17</v>
      </c>
      <c r="W62" t="s">
        <v>893</v>
      </c>
      <c r="AE62" t="s">
        <v>645</v>
      </c>
      <c r="AH62" t="s">
        <v>646</v>
      </c>
      <c r="AL62" t="s">
        <v>894</v>
      </c>
      <c r="AP62" t="s">
        <v>895</v>
      </c>
    </row>
    <row r="63" spans="1:74" x14ac:dyDescent="0.2">
      <c r="A63" t="s">
        <v>6684</v>
      </c>
      <c r="B63" t="s">
        <v>7055</v>
      </c>
      <c r="C63" t="s">
        <v>4934</v>
      </c>
      <c r="D63" t="s">
        <v>477</v>
      </c>
      <c r="E63">
        <v>2013</v>
      </c>
      <c r="F63" t="s">
        <v>4935</v>
      </c>
      <c r="G63" s="6" t="s">
        <v>4936</v>
      </c>
      <c r="H63" t="s">
        <v>4937</v>
      </c>
      <c r="I63" t="s">
        <v>4938</v>
      </c>
      <c r="K63" t="s">
        <v>4939</v>
      </c>
      <c r="L63" t="s">
        <v>4940</v>
      </c>
      <c r="M63" t="s">
        <v>4941</v>
      </c>
      <c r="N63">
        <v>2013</v>
      </c>
      <c r="O63" s="1">
        <v>45783.306388888886</v>
      </c>
      <c r="P63" s="1">
        <v>45783.306388888886</v>
      </c>
      <c r="R63" t="s">
        <v>4942</v>
      </c>
      <c r="Y63" t="s">
        <v>4943</v>
      </c>
      <c r="AC63" t="s">
        <v>3194</v>
      </c>
      <c r="AD63" t="s">
        <v>589</v>
      </c>
      <c r="AL63" t="s">
        <v>4944</v>
      </c>
      <c r="AP63" t="s">
        <v>4923</v>
      </c>
    </row>
    <row r="64" spans="1:74" x14ac:dyDescent="0.2">
      <c r="A64" t="s">
        <v>6684</v>
      </c>
      <c r="B64" t="s">
        <v>7035</v>
      </c>
      <c r="C64" t="s">
        <v>5686</v>
      </c>
      <c r="D64" t="s">
        <v>477</v>
      </c>
      <c r="E64">
        <v>2021</v>
      </c>
      <c r="F64" t="s">
        <v>5687</v>
      </c>
      <c r="G64" s="6" t="s">
        <v>5688</v>
      </c>
      <c r="H64" t="s">
        <v>5689</v>
      </c>
      <c r="I64" t="s">
        <v>5690</v>
      </c>
      <c r="K64" t="s">
        <v>5691</v>
      </c>
      <c r="L64" t="s">
        <v>5692</v>
      </c>
      <c r="N64" t="s">
        <v>5401</v>
      </c>
      <c r="O64" s="1">
        <v>45783.311747685184</v>
      </c>
      <c r="P64" s="1">
        <v>45783.311747685184</v>
      </c>
      <c r="Q64" s="1">
        <v>45783.311747685184</v>
      </c>
      <c r="R64" t="s">
        <v>5693</v>
      </c>
      <c r="X64" t="s">
        <v>5694</v>
      </c>
      <c r="AC64" t="s">
        <v>5107</v>
      </c>
      <c r="AD64" t="s">
        <v>5695</v>
      </c>
      <c r="AF64" t="s">
        <v>5140</v>
      </c>
      <c r="AJ64" t="s">
        <v>98</v>
      </c>
      <c r="BV64" t="s">
        <v>5689</v>
      </c>
    </row>
    <row r="65" spans="1:74" x14ac:dyDescent="0.2">
      <c r="A65" t="s">
        <v>6684</v>
      </c>
      <c r="B65" t="s">
        <v>7035</v>
      </c>
      <c r="C65" t="s">
        <v>6220</v>
      </c>
      <c r="D65" t="s">
        <v>477</v>
      </c>
      <c r="E65">
        <v>2022</v>
      </c>
      <c r="F65" t="s">
        <v>6221</v>
      </c>
      <c r="G65" s="6" t="s">
        <v>6222</v>
      </c>
      <c r="H65" t="s">
        <v>6223</v>
      </c>
      <c r="I65" t="s">
        <v>6224</v>
      </c>
      <c r="K65" t="s">
        <v>6225</v>
      </c>
      <c r="L65" t="s">
        <v>6226</v>
      </c>
      <c r="N65" t="s">
        <v>5649</v>
      </c>
      <c r="O65" s="1">
        <v>45783.313368055555</v>
      </c>
      <c r="P65" s="1">
        <v>45783.313368055555</v>
      </c>
      <c r="Q65" s="1">
        <v>45783.313368055555</v>
      </c>
      <c r="R65" t="s">
        <v>6227</v>
      </c>
      <c r="X65" t="s">
        <v>6228</v>
      </c>
      <c r="AC65" t="s">
        <v>5107</v>
      </c>
      <c r="AD65" t="s">
        <v>5651</v>
      </c>
      <c r="AF65" t="s">
        <v>5109</v>
      </c>
      <c r="AJ65" t="s">
        <v>98</v>
      </c>
      <c r="BV65" t="s">
        <v>6229</v>
      </c>
    </row>
    <row r="66" spans="1:74" x14ac:dyDescent="0.2">
      <c r="A66" t="s">
        <v>7034</v>
      </c>
      <c r="B66" t="s">
        <v>6658</v>
      </c>
      <c r="C66" t="s">
        <v>4758</v>
      </c>
      <c r="D66" t="s">
        <v>477</v>
      </c>
      <c r="E66">
        <v>2018</v>
      </c>
      <c r="F66" t="s">
        <v>4759</v>
      </c>
      <c r="G66" s="6" t="s">
        <v>4760</v>
      </c>
      <c r="H66" t="s">
        <v>4761</v>
      </c>
      <c r="I66" t="s">
        <v>4762</v>
      </c>
      <c r="K66" t="s">
        <v>4763</v>
      </c>
      <c r="L66" t="s">
        <v>4764</v>
      </c>
      <c r="M66" t="s">
        <v>4765</v>
      </c>
      <c r="N66">
        <v>2018</v>
      </c>
      <c r="O66" s="1">
        <v>45783.306377314817</v>
      </c>
      <c r="P66" s="1">
        <v>45783.306377314817</v>
      </c>
      <c r="Y66" t="s">
        <v>4766</v>
      </c>
      <c r="AC66" t="s">
        <v>1167</v>
      </c>
      <c r="AD66" t="s">
        <v>3218</v>
      </c>
      <c r="AL66" t="s">
        <v>3669</v>
      </c>
      <c r="AP66" t="s">
        <v>4767</v>
      </c>
    </row>
    <row r="67" spans="1:74" x14ac:dyDescent="0.2">
      <c r="A67" t="s">
        <v>6684</v>
      </c>
      <c r="B67" t="s">
        <v>7035</v>
      </c>
      <c r="C67" t="s">
        <v>5269</v>
      </c>
      <c r="D67" t="s">
        <v>477</v>
      </c>
      <c r="E67">
        <v>2025</v>
      </c>
      <c r="F67" t="s">
        <v>5270</v>
      </c>
      <c r="G67" s="6" t="s">
        <v>5271</v>
      </c>
      <c r="H67" t="s">
        <v>5272</v>
      </c>
      <c r="I67" t="s">
        <v>5273</v>
      </c>
      <c r="K67" t="s">
        <v>5274</v>
      </c>
      <c r="L67" t="s">
        <v>5275</v>
      </c>
      <c r="N67" s="2">
        <v>45724</v>
      </c>
      <c r="O67" s="1">
        <v>45783.311261574076</v>
      </c>
      <c r="P67" s="1">
        <v>45783.311261574076</v>
      </c>
      <c r="Q67" s="1">
        <v>45783.311261574076</v>
      </c>
      <c r="R67" t="s">
        <v>5276</v>
      </c>
      <c r="X67" t="s">
        <v>5277</v>
      </c>
      <c r="AC67" t="s">
        <v>5107</v>
      </c>
      <c r="AD67" t="s">
        <v>5278</v>
      </c>
      <c r="AF67" t="s">
        <v>5109</v>
      </c>
      <c r="AJ67" t="s">
        <v>98</v>
      </c>
      <c r="BV67" t="s">
        <v>5272</v>
      </c>
    </row>
    <row r="68" spans="1:74" x14ac:dyDescent="0.2">
      <c r="A68" t="s">
        <v>6684</v>
      </c>
      <c r="B68" t="s">
        <v>7035</v>
      </c>
      <c r="C68" t="s">
        <v>5317</v>
      </c>
      <c r="D68" t="s">
        <v>477</v>
      </c>
      <c r="E68">
        <v>2015</v>
      </c>
      <c r="F68" t="s">
        <v>5318</v>
      </c>
      <c r="G68" s="6" t="s">
        <v>5319</v>
      </c>
      <c r="H68" t="s">
        <v>5320</v>
      </c>
      <c r="I68" t="s">
        <v>5321</v>
      </c>
      <c r="K68" t="s">
        <v>5322</v>
      </c>
      <c r="L68" t="s">
        <v>5323</v>
      </c>
      <c r="N68" t="s">
        <v>5324</v>
      </c>
      <c r="O68" s="1">
        <v>45783.30636574074</v>
      </c>
      <c r="P68" s="1">
        <v>45784.286261574074</v>
      </c>
      <c r="Q68" s="1">
        <v>45783.311307870368</v>
      </c>
      <c r="R68" t="s">
        <v>5325</v>
      </c>
      <c r="AC68" t="s">
        <v>5107</v>
      </c>
      <c r="AD68" t="s">
        <v>5326</v>
      </c>
      <c r="AJ68" t="s">
        <v>98</v>
      </c>
      <c r="BV68" t="s">
        <v>5320</v>
      </c>
    </row>
    <row r="69" spans="1:74" x14ac:dyDescent="0.2">
      <c r="A69" t="s">
        <v>6684</v>
      </c>
      <c r="B69" t="s">
        <v>7035</v>
      </c>
      <c r="C69" t="s">
        <v>476</v>
      </c>
      <c r="D69" t="s">
        <v>477</v>
      </c>
      <c r="E69">
        <v>2020</v>
      </c>
      <c r="F69" t="s">
        <v>478</v>
      </c>
      <c r="G69" s="6" t="s">
        <v>479</v>
      </c>
      <c r="H69" t="s">
        <v>480</v>
      </c>
      <c r="I69" t="s">
        <v>481</v>
      </c>
      <c r="K69" t="s">
        <v>482</v>
      </c>
      <c r="L69" t="s">
        <v>483</v>
      </c>
      <c r="N69">
        <v>2020</v>
      </c>
      <c r="O69" s="1">
        <v>45783.293599537035</v>
      </c>
      <c r="P69" s="1">
        <v>45784.35</v>
      </c>
      <c r="Q69" s="1">
        <v>45783.293599537035</v>
      </c>
      <c r="R69" t="s">
        <v>484</v>
      </c>
      <c r="U69">
        <v>12243</v>
      </c>
      <c r="X69" t="s">
        <v>485</v>
      </c>
      <c r="AC69" t="s">
        <v>262</v>
      </c>
      <c r="AD69" t="s">
        <v>96</v>
      </c>
      <c r="AE69" t="s">
        <v>97</v>
      </c>
      <c r="AJ69" t="s">
        <v>98</v>
      </c>
      <c r="AL69" t="s">
        <v>486</v>
      </c>
      <c r="AP69" t="s">
        <v>487</v>
      </c>
      <c r="AR69" t="s">
        <v>488</v>
      </c>
    </row>
    <row r="70" spans="1:74" x14ac:dyDescent="0.2">
      <c r="A70" t="s">
        <v>6684</v>
      </c>
      <c r="B70" t="s">
        <v>6657</v>
      </c>
      <c r="C70" t="s">
        <v>1526</v>
      </c>
      <c r="D70" t="s">
        <v>477</v>
      </c>
      <c r="E70">
        <v>2020</v>
      </c>
      <c r="F70" t="s">
        <v>1527</v>
      </c>
      <c r="G70" s="6" t="s">
        <v>1528</v>
      </c>
      <c r="H70" t="s">
        <v>1043</v>
      </c>
      <c r="I70" t="s">
        <v>1529</v>
      </c>
      <c r="K70" t="s">
        <v>1530</v>
      </c>
      <c r="L70" t="s">
        <v>1531</v>
      </c>
      <c r="M70" t="s">
        <v>1532</v>
      </c>
      <c r="N70">
        <v>2020</v>
      </c>
      <c r="O70" s="1">
        <v>45783.300150462965</v>
      </c>
      <c r="P70" s="1">
        <v>45783.300150462965</v>
      </c>
      <c r="R70" t="s">
        <v>1533</v>
      </c>
      <c r="U70" t="s">
        <v>1534</v>
      </c>
      <c r="AC70" t="s">
        <v>1535</v>
      </c>
      <c r="AE70" t="s">
        <v>645</v>
      </c>
      <c r="AH70" t="s">
        <v>646</v>
      </c>
      <c r="AL70" t="s">
        <v>1050</v>
      </c>
      <c r="AP70" t="s">
        <v>1536</v>
      </c>
      <c r="AR70" t="s">
        <v>1537</v>
      </c>
      <c r="BV70" t="s">
        <v>1053</v>
      </c>
    </row>
    <row r="71" spans="1:74" x14ac:dyDescent="0.2">
      <c r="A71" t="s">
        <v>6684</v>
      </c>
      <c r="B71" t="s">
        <v>6657</v>
      </c>
      <c r="C71" t="s">
        <v>4956</v>
      </c>
      <c r="D71" t="s">
        <v>102</v>
      </c>
      <c r="E71">
        <v>2014</v>
      </c>
      <c r="F71" t="s">
        <v>4957</v>
      </c>
      <c r="G71" s="6" t="s">
        <v>4958</v>
      </c>
      <c r="H71" t="s">
        <v>4959</v>
      </c>
      <c r="J71" t="s">
        <v>4960</v>
      </c>
      <c r="K71" t="s">
        <v>4961</v>
      </c>
      <c r="L71" t="s">
        <v>4962</v>
      </c>
      <c r="M71" t="s">
        <v>4963</v>
      </c>
      <c r="N71" t="s">
        <v>4964</v>
      </c>
      <c r="O71" s="1">
        <v>45783.306388888886</v>
      </c>
      <c r="P71" s="1">
        <v>45783.382303240738</v>
      </c>
      <c r="R71" t="s">
        <v>4965</v>
      </c>
      <c r="U71">
        <v>118</v>
      </c>
      <c r="AL71" t="s">
        <v>4966</v>
      </c>
      <c r="AP71" t="s">
        <v>4967</v>
      </c>
    </row>
    <row r="72" spans="1:74" x14ac:dyDescent="0.2">
      <c r="A72" t="s">
        <v>6684</v>
      </c>
      <c r="B72" t="s">
        <v>6657</v>
      </c>
      <c r="C72" t="s">
        <v>2927</v>
      </c>
      <c r="D72" t="s">
        <v>477</v>
      </c>
      <c r="E72">
        <v>2016</v>
      </c>
      <c r="F72" t="s">
        <v>2928</v>
      </c>
      <c r="G72" s="6" t="s">
        <v>2929</v>
      </c>
      <c r="H72" t="s">
        <v>2930</v>
      </c>
      <c r="I72" t="s">
        <v>2931</v>
      </c>
      <c r="K72" t="s">
        <v>2932</v>
      </c>
      <c r="L72" t="s">
        <v>2933</v>
      </c>
      <c r="M72" t="s">
        <v>2934</v>
      </c>
      <c r="N72">
        <v>2016</v>
      </c>
      <c r="O72" s="1">
        <v>45783.300173611111</v>
      </c>
      <c r="P72" s="1">
        <v>45783.300173611111</v>
      </c>
      <c r="R72" t="s">
        <v>2935</v>
      </c>
      <c r="U72" t="s">
        <v>2936</v>
      </c>
      <c r="AC72" t="s">
        <v>1895</v>
      </c>
      <c r="AE72" t="s">
        <v>645</v>
      </c>
      <c r="AH72" t="s">
        <v>646</v>
      </c>
      <c r="AL72" t="s">
        <v>2937</v>
      </c>
      <c r="AP72" t="s">
        <v>2938</v>
      </c>
      <c r="BV72" t="s">
        <v>2939</v>
      </c>
    </row>
    <row r="73" spans="1:74" x14ac:dyDescent="0.2">
      <c r="A73" t="s">
        <v>6684</v>
      </c>
      <c r="B73" t="s">
        <v>7055</v>
      </c>
      <c r="C73" t="s">
        <v>3168</v>
      </c>
      <c r="D73" t="s">
        <v>477</v>
      </c>
      <c r="E73">
        <v>2006</v>
      </c>
      <c r="F73" t="s">
        <v>3169</v>
      </c>
      <c r="G73" s="6" t="s">
        <v>3170</v>
      </c>
      <c r="H73" t="s">
        <v>2712</v>
      </c>
      <c r="I73" t="s">
        <v>3171</v>
      </c>
      <c r="L73" t="s">
        <v>3172</v>
      </c>
      <c r="M73" t="s">
        <v>3173</v>
      </c>
      <c r="N73">
        <v>2006</v>
      </c>
      <c r="O73" s="1">
        <v>45783.300173611111</v>
      </c>
      <c r="P73" s="1">
        <v>45783.300173611111</v>
      </c>
      <c r="R73" t="s">
        <v>3174</v>
      </c>
      <c r="U73">
        <v>119</v>
      </c>
      <c r="AC73" t="s">
        <v>2718</v>
      </c>
      <c r="AE73" t="s">
        <v>645</v>
      </c>
      <c r="AH73" t="s">
        <v>646</v>
      </c>
      <c r="AL73" t="s">
        <v>2719</v>
      </c>
      <c r="AP73" t="s">
        <v>3175</v>
      </c>
      <c r="BV73" t="s">
        <v>2722</v>
      </c>
    </row>
    <row r="74" spans="1:74" x14ac:dyDescent="0.2">
      <c r="A74" t="s">
        <v>6684</v>
      </c>
      <c r="B74" t="s">
        <v>7035</v>
      </c>
      <c r="C74" t="s">
        <v>5843</v>
      </c>
      <c r="D74" t="s">
        <v>477</v>
      </c>
      <c r="E74">
        <v>2019</v>
      </c>
      <c r="F74" t="s">
        <v>5844</v>
      </c>
      <c r="G74" s="6" t="s">
        <v>5845</v>
      </c>
      <c r="H74" t="s">
        <v>5846</v>
      </c>
      <c r="I74" t="s">
        <v>5847</v>
      </c>
      <c r="K74" t="s">
        <v>5848</v>
      </c>
      <c r="L74" t="s">
        <v>5849</v>
      </c>
      <c r="N74" s="2">
        <v>43716</v>
      </c>
      <c r="O74" s="1">
        <v>45783.311990740738</v>
      </c>
      <c r="P74" s="1">
        <v>45783.311990740738</v>
      </c>
      <c r="Q74" s="1">
        <v>45783.311990740738</v>
      </c>
      <c r="R74" t="s">
        <v>5850</v>
      </c>
      <c r="X74" t="s">
        <v>5851</v>
      </c>
      <c r="AC74" t="s">
        <v>5107</v>
      </c>
      <c r="AD74" t="s">
        <v>5852</v>
      </c>
      <c r="AF74" t="s">
        <v>5140</v>
      </c>
      <c r="AJ74" t="s">
        <v>98</v>
      </c>
      <c r="BV74" t="s">
        <v>5846</v>
      </c>
    </row>
    <row r="75" spans="1:74" x14ac:dyDescent="0.2">
      <c r="A75" t="s">
        <v>6684</v>
      </c>
      <c r="B75" t="s">
        <v>7035</v>
      </c>
      <c r="C75" t="s">
        <v>594</v>
      </c>
      <c r="D75" t="s">
        <v>102</v>
      </c>
      <c r="E75">
        <v>2010</v>
      </c>
      <c r="F75" t="s">
        <v>595</v>
      </c>
      <c r="G75" s="6" t="s">
        <v>596</v>
      </c>
      <c r="H75" t="s">
        <v>133</v>
      </c>
      <c r="J75" t="s">
        <v>134</v>
      </c>
      <c r="K75" t="s">
        <v>597</v>
      </c>
      <c r="L75" t="s">
        <v>598</v>
      </c>
      <c r="M75" t="s">
        <v>599</v>
      </c>
      <c r="N75" t="s">
        <v>600</v>
      </c>
      <c r="O75" s="1">
        <v>45783.293761574074</v>
      </c>
      <c r="P75" s="1">
        <v>45783.472280092596</v>
      </c>
      <c r="Q75" s="1">
        <v>45783.293761574074</v>
      </c>
      <c r="R75">
        <v>48</v>
      </c>
      <c r="T75">
        <v>1</v>
      </c>
      <c r="U75">
        <v>7</v>
      </c>
      <c r="W75" t="s">
        <v>601</v>
      </c>
      <c r="X75" t="s">
        <v>602</v>
      </c>
      <c r="AE75" t="s">
        <v>97</v>
      </c>
      <c r="AJ75" t="s">
        <v>98</v>
      </c>
      <c r="AN75" t="s">
        <v>603</v>
      </c>
      <c r="AP75" t="s">
        <v>604</v>
      </c>
    </row>
    <row r="76" spans="1:74" x14ac:dyDescent="0.2">
      <c r="A76" t="s">
        <v>6684</v>
      </c>
      <c r="B76" t="s">
        <v>7035</v>
      </c>
      <c r="C76" t="s">
        <v>3208</v>
      </c>
      <c r="D76" t="s">
        <v>477</v>
      </c>
      <c r="E76">
        <v>2024</v>
      </c>
      <c r="F76" t="s">
        <v>3209</v>
      </c>
      <c r="G76" s="6" t="s">
        <v>3210</v>
      </c>
      <c r="H76" t="s">
        <v>3211</v>
      </c>
      <c r="I76" t="s">
        <v>3212</v>
      </c>
      <c r="K76" t="s">
        <v>3213</v>
      </c>
      <c r="L76" t="s">
        <v>3214</v>
      </c>
      <c r="M76" t="s">
        <v>3215</v>
      </c>
      <c r="N76">
        <v>2024</v>
      </c>
      <c r="O76" s="1">
        <v>45783.30636574074</v>
      </c>
      <c r="P76" s="1">
        <v>45783.30636574074</v>
      </c>
      <c r="R76" t="s">
        <v>3216</v>
      </c>
      <c r="Y76" t="s">
        <v>3217</v>
      </c>
      <c r="AC76" t="s">
        <v>1167</v>
      </c>
      <c r="AD76" t="s">
        <v>3218</v>
      </c>
      <c r="AL76" t="s">
        <v>3219</v>
      </c>
      <c r="AP76" t="s">
        <v>3220</v>
      </c>
    </row>
    <row r="77" spans="1:74" x14ac:dyDescent="0.2">
      <c r="A77" t="s">
        <v>6684</v>
      </c>
      <c r="B77" t="s">
        <v>7035</v>
      </c>
      <c r="C77" t="s">
        <v>203</v>
      </c>
      <c r="D77" t="s">
        <v>88</v>
      </c>
      <c r="E77">
        <v>2023</v>
      </c>
      <c r="F77" t="s">
        <v>204</v>
      </c>
      <c r="G77" s="6" t="s">
        <v>205</v>
      </c>
      <c r="H77" t="s">
        <v>206</v>
      </c>
      <c r="I77" t="s">
        <v>207</v>
      </c>
      <c r="L77" t="s">
        <v>208</v>
      </c>
      <c r="N77">
        <v>2023</v>
      </c>
      <c r="O77" s="1">
        <v>45783.29310185185</v>
      </c>
      <c r="P77" s="1">
        <v>45783.29310185185</v>
      </c>
      <c r="Q77" s="1">
        <v>45783.29310185185</v>
      </c>
      <c r="R77" t="s">
        <v>209</v>
      </c>
      <c r="U77">
        <v>318</v>
      </c>
      <c r="X77" t="s">
        <v>210</v>
      </c>
      <c r="AC77" t="s">
        <v>211</v>
      </c>
      <c r="AD77" t="s">
        <v>212</v>
      </c>
      <c r="AE77" t="s">
        <v>97</v>
      </c>
      <c r="AJ77" t="s">
        <v>98</v>
      </c>
      <c r="AL77" t="s">
        <v>213</v>
      </c>
      <c r="AR77" t="s">
        <v>214</v>
      </c>
    </row>
    <row r="78" spans="1:74" x14ac:dyDescent="0.2">
      <c r="A78" t="s">
        <v>6684</v>
      </c>
      <c r="B78" t="s">
        <v>6657</v>
      </c>
      <c r="C78" t="s">
        <v>3470</v>
      </c>
      <c r="D78" t="s">
        <v>477</v>
      </c>
      <c r="E78">
        <v>2021</v>
      </c>
      <c r="F78" t="s">
        <v>3471</v>
      </c>
      <c r="G78" s="6" t="s">
        <v>3472</v>
      </c>
      <c r="H78" t="s">
        <v>3473</v>
      </c>
      <c r="I78" t="s">
        <v>3474</v>
      </c>
      <c r="K78" t="s">
        <v>3475</v>
      </c>
      <c r="L78" t="s">
        <v>3476</v>
      </c>
      <c r="M78" t="s">
        <v>3477</v>
      </c>
      <c r="N78">
        <v>2021</v>
      </c>
      <c r="O78" s="1">
        <v>45783.293483796297</v>
      </c>
      <c r="P78" s="1">
        <v>45784.352650462963</v>
      </c>
      <c r="R78" t="s">
        <v>3478</v>
      </c>
      <c r="U78">
        <v>12936</v>
      </c>
      <c r="AC78" t="s">
        <v>3194</v>
      </c>
      <c r="AD78" t="s">
        <v>589</v>
      </c>
      <c r="AL78" t="s">
        <v>3479</v>
      </c>
      <c r="AN78" t="s">
        <v>3480</v>
      </c>
      <c r="AP78" t="s">
        <v>3481</v>
      </c>
    </row>
    <row r="79" spans="1:74" x14ac:dyDescent="0.2">
      <c r="A79" t="s">
        <v>7034</v>
      </c>
      <c r="B79" t="s">
        <v>6672</v>
      </c>
      <c r="C79" t="s">
        <v>2601</v>
      </c>
      <c r="D79" t="s">
        <v>102</v>
      </c>
      <c r="E79">
        <v>2018</v>
      </c>
      <c r="F79" t="s">
        <v>2602</v>
      </c>
      <c r="G79" s="6" t="s">
        <v>2603</v>
      </c>
      <c r="H79" t="s">
        <v>2604</v>
      </c>
      <c r="J79" t="s">
        <v>2605</v>
      </c>
      <c r="K79" t="s">
        <v>2606</v>
      </c>
      <c r="L79" t="s">
        <v>2607</v>
      </c>
      <c r="M79" t="s">
        <v>2608</v>
      </c>
      <c r="N79">
        <v>2018</v>
      </c>
      <c r="O79" s="1">
        <v>45783.300162037034</v>
      </c>
      <c r="P79" s="1">
        <v>45783.300162037034</v>
      </c>
      <c r="T79">
        <v>8</v>
      </c>
      <c r="U79">
        <v>28</v>
      </c>
      <c r="W79" t="s">
        <v>2609</v>
      </c>
      <c r="AE79" t="s">
        <v>645</v>
      </c>
      <c r="AH79" t="s">
        <v>646</v>
      </c>
      <c r="AL79" t="s">
        <v>1229</v>
      </c>
      <c r="AP79" t="s">
        <v>2610</v>
      </c>
    </row>
    <row r="80" spans="1:74" x14ac:dyDescent="0.2">
      <c r="A80" t="s">
        <v>6684</v>
      </c>
      <c r="B80" t="s">
        <v>7050</v>
      </c>
      <c r="C80" t="s">
        <v>498</v>
      </c>
      <c r="D80" t="s">
        <v>88</v>
      </c>
      <c r="E80">
        <v>2019</v>
      </c>
      <c r="F80" t="s">
        <v>499</v>
      </c>
      <c r="G80" s="6" t="s">
        <v>500</v>
      </c>
      <c r="H80" t="s">
        <v>501</v>
      </c>
      <c r="I80" t="s">
        <v>502</v>
      </c>
      <c r="L80" t="s">
        <v>503</v>
      </c>
      <c r="N80">
        <v>2019</v>
      </c>
      <c r="O80" s="1">
        <v>45783.293622685182</v>
      </c>
      <c r="P80" s="1">
        <v>45783.293622685182</v>
      </c>
      <c r="Q80" s="1">
        <v>45783.293622685182</v>
      </c>
      <c r="R80" t="s">
        <v>504</v>
      </c>
      <c r="U80">
        <v>11354</v>
      </c>
      <c r="AC80" t="s">
        <v>262</v>
      </c>
      <c r="AD80" t="s">
        <v>96</v>
      </c>
      <c r="AE80" t="s">
        <v>97</v>
      </c>
      <c r="AJ80" t="s">
        <v>98</v>
      </c>
      <c r="AL80" t="s">
        <v>505</v>
      </c>
      <c r="AR80" t="s">
        <v>506</v>
      </c>
    </row>
    <row r="81" spans="1:74" x14ac:dyDescent="0.2">
      <c r="A81" t="s">
        <v>6684</v>
      </c>
      <c r="B81" t="s">
        <v>6657</v>
      </c>
      <c r="C81" t="s">
        <v>1028</v>
      </c>
      <c r="D81" t="s">
        <v>477</v>
      </c>
      <c r="E81">
        <v>2024</v>
      </c>
      <c r="F81" t="s">
        <v>1029</v>
      </c>
      <c r="G81" s="6" t="s">
        <v>1030</v>
      </c>
      <c r="H81" t="s">
        <v>1031</v>
      </c>
      <c r="I81" t="s">
        <v>1032</v>
      </c>
      <c r="K81" t="s">
        <v>1033</v>
      </c>
      <c r="L81" t="s">
        <v>1034</v>
      </c>
      <c r="M81" t="s">
        <v>1035</v>
      </c>
      <c r="N81">
        <v>2024</v>
      </c>
      <c r="O81" s="1">
        <v>45783.300150462965</v>
      </c>
      <c r="P81" s="1">
        <v>45783.300150462965</v>
      </c>
      <c r="AC81" t="s">
        <v>681</v>
      </c>
      <c r="AE81" t="s">
        <v>645</v>
      </c>
      <c r="AH81" t="s">
        <v>646</v>
      </c>
      <c r="AL81" t="s">
        <v>1036</v>
      </c>
      <c r="AP81" t="s">
        <v>1037</v>
      </c>
      <c r="AR81" t="s">
        <v>1038</v>
      </c>
      <c r="BV81" t="s">
        <v>1039</v>
      </c>
    </row>
    <row r="82" spans="1:74" x14ac:dyDescent="0.2">
      <c r="A82" t="s">
        <v>7034</v>
      </c>
      <c r="B82" t="s">
        <v>6661</v>
      </c>
      <c r="C82" t="s">
        <v>1485</v>
      </c>
      <c r="D82" t="s">
        <v>477</v>
      </c>
      <c r="E82">
        <v>2020</v>
      </c>
      <c r="F82" t="s">
        <v>1486</v>
      </c>
      <c r="G82" s="6" t="s">
        <v>1487</v>
      </c>
      <c r="H82" t="s">
        <v>1488</v>
      </c>
      <c r="I82" t="s">
        <v>1489</v>
      </c>
      <c r="K82" t="s">
        <v>1490</v>
      </c>
      <c r="L82" t="s">
        <v>1491</v>
      </c>
      <c r="M82" t="s">
        <v>1492</v>
      </c>
      <c r="N82">
        <v>2020</v>
      </c>
      <c r="O82" s="1">
        <v>45783.300150462965</v>
      </c>
      <c r="P82" s="1">
        <v>45783.300150462965</v>
      </c>
      <c r="AC82" t="s">
        <v>681</v>
      </c>
      <c r="AE82" t="s">
        <v>645</v>
      </c>
      <c r="AH82" t="s">
        <v>646</v>
      </c>
      <c r="AL82" t="s">
        <v>1493</v>
      </c>
      <c r="AP82" t="s">
        <v>1494</v>
      </c>
      <c r="BV82" t="s">
        <v>1495</v>
      </c>
    </row>
    <row r="83" spans="1:74" x14ac:dyDescent="0.2">
      <c r="A83" t="s">
        <v>6684</v>
      </c>
      <c r="B83" t="s">
        <v>7035</v>
      </c>
      <c r="C83" t="s">
        <v>3221</v>
      </c>
      <c r="D83" t="s">
        <v>477</v>
      </c>
      <c r="E83">
        <v>2022</v>
      </c>
      <c r="F83" t="s">
        <v>3222</v>
      </c>
      <c r="G83" s="6" t="s">
        <v>3223</v>
      </c>
      <c r="H83" t="s">
        <v>3224</v>
      </c>
      <c r="I83" t="s">
        <v>3225</v>
      </c>
      <c r="K83" t="s">
        <v>3226</v>
      </c>
      <c r="L83" t="s">
        <v>3227</v>
      </c>
      <c r="M83" t="s">
        <v>3228</v>
      </c>
      <c r="N83">
        <v>2022</v>
      </c>
      <c r="O83" s="1">
        <v>45783.293090277781</v>
      </c>
      <c r="P83" s="1">
        <v>45784.350335648145</v>
      </c>
      <c r="R83" t="s">
        <v>3229</v>
      </c>
      <c r="U83">
        <v>13321</v>
      </c>
      <c r="X83" t="s">
        <v>3230</v>
      </c>
      <c r="AC83" t="s">
        <v>3194</v>
      </c>
      <c r="AD83" t="s">
        <v>589</v>
      </c>
      <c r="AL83" t="s">
        <v>3231</v>
      </c>
      <c r="AP83" t="s">
        <v>3232</v>
      </c>
    </row>
    <row r="84" spans="1:74" x14ac:dyDescent="0.2">
      <c r="A84" t="s">
        <v>6684</v>
      </c>
      <c r="B84" t="s">
        <v>7045</v>
      </c>
      <c r="C84" t="s">
        <v>3869</v>
      </c>
      <c r="D84" t="s">
        <v>102</v>
      </c>
      <c r="E84">
        <v>2013</v>
      </c>
      <c r="F84" t="s">
        <v>3870</v>
      </c>
      <c r="G84" s="6" t="s">
        <v>3871</v>
      </c>
      <c r="H84" t="s">
        <v>3278</v>
      </c>
      <c r="J84" t="s">
        <v>3279</v>
      </c>
      <c r="K84" t="s">
        <v>3872</v>
      </c>
      <c r="L84" t="s">
        <v>3873</v>
      </c>
      <c r="M84" t="s">
        <v>3874</v>
      </c>
      <c r="N84" t="s">
        <v>3875</v>
      </c>
      <c r="O84" s="1">
        <v>45783.306377314817</v>
      </c>
      <c r="P84" s="1">
        <v>45783.306377314817</v>
      </c>
      <c r="R84" t="s">
        <v>3876</v>
      </c>
      <c r="T84">
        <v>3</v>
      </c>
      <c r="U84">
        <v>71</v>
      </c>
      <c r="AL84" t="s">
        <v>3284</v>
      </c>
      <c r="AP84" t="s">
        <v>3877</v>
      </c>
    </row>
    <row r="85" spans="1:74" x14ac:dyDescent="0.2">
      <c r="A85" t="s">
        <v>6684</v>
      </c>
      <c r="B85" t="s">
        <v>7035</v>
      </c>
      <c r="C85" t="s">
        <v>3360</v>
      </c>
      <c r="D85" t="s">
        <v>477</v>
      </c>
      <c r="E85">
        <v>2023</v>
      </c>
      <c r="F85" t="s">
        <v>3361</v>
      </c>
      <c r="G85" s="6" t="s">
        <v>3362</v>
      </c>
      <c r="H85" t="s">
        <v>3363</v>
      </c>
      <c r="I85" t="s">
        <v>3364</v>
      </c>
      <c r="K85" t="s">
        <v>3365</v>
      </c>
      <c r="L85" t="s">
        <v>3366</v>
      </c>
      <c r="M85" t="s">
        <v>3367</v>
      </c>
      <c r="N85">
        <v>2023</v>
      </c>
      <c r="O85" s="1">
        <v>45783.293206018519</v>
      </c>
      <c r="P85" s="1">
        <v>45784.353680555556</v>
      </c>
      <c r="R85" t="s">
        <v>3368</v>
      </c>
      <c r="U85">
        <v>14218</v>
      </c>
      <c r="AC85" t="s">
        <v>3194</v>
      </c>
      <c r="AD85" t="s">
        <v>589</v>
      </c>
      <c r="AL85" t="s">
        <v>3369</v>
      </c>
      <c r="AP85" t="s">
        <v>3370</v>
      </c>
    </row>
    <row r="86" spans="1:74" x14ac:dyDescent="0.2">
      <c r="A86" t="s">
        <v>7034</v>
      </c>
      <c r="B86" t="s">
        <v>7047</v>
      </c>
      <c r="C86" t="s">
        <v>6213</v>
      </c>
      <c r="D86" t="s">
        <v>102</v>
      </c>
      <c r="E86">
        <v>2021</v>
      </c>
      <c r="F86" t="s">
        <v>6214</v>
      </c>
      <c r="G86" s="6" t="s">
        <v>6215</v>
      </c>
      <c r="H86" t="s">
        <v>1376</v>
      </c>
      <c r="J86" t="s">
        <v>6105</v>
      </c>
      <c r="K86" t="s">
        <v>6216</v>
      </c>
      <c r="L86" t="s">
        <v>6217</v>
      </c>
      <c r="N86" s="2">
        <v>44256</v>
      </c>
      <c r="O86" s="1">
        <v>45783.312916666669</v>
      </c>
      <c r="P86" s="1">
        <v>45783.312916666669</v>
      </c>
      <c r="Q86" s="1">
        <v>45783.312916666669</v>
      </c>
      <c r="R86" t="s">
        <v>6218</v>
      </c>
      <c r="T86">
        <v>3</v>
      </c>
      <c r="U86">
        <v>27</v>
      </c>
      <c r="W86" t="s">
        <v>3713</v>
      </c>
      <c r="AF86" t="s">
        <v>5140</v>
      </c>
      <c r="AJ86" t="s">
        <v>98</v>
      </c>
      <c r="AN86" t="s">
        <v>6219</v>
      </c>
    </row>
    <row r="87" spans="1:74" x14ac:dyDescent="0.2">
      <c r="A87" t="s">
        <v>7034</v>
      </c>
      <c r="B87" t="s">
        <v>6671</v>
      </c>
      <c r="C87" t="s">
        <v>5884</v>
      </c>
      <c r="D87" t="s">
        <v>477</v>
      </c>
      <c r="E87">
        <v>2019</v>
      </c>
      <c r="F87" t="s">
        <v>5885</v>
      </c>
      <c r="G87" s="6" t="s">
        <v>5886</v>
      </c>
      <c r="H87" t="s">
        <v>5887</v>
      </c>
      <c r="I87" t="s">
        <v>5888</v>
      </c>
      <c r="K87" t="s">
        <v>5889</v>
      </c>
      <c r="L87" t="s">
        <v>5890</v>
      </c>
      <c r="N87" t="s">
        <v>4388</v>
      </c>
      <c r="O87" s="1">
        <v>45783.312037037038</v>
      </c>
      <c r="P87" s="1">
        <v>45783.312037037038</v>
      </c>
      <c r="Q87" s="1">
        <v>45783.312037037038</v>
      </c>
      <c r="R87" t="s">
        <v>5891</v>
      </c>
      <c r="AC87" t="s">
        <v>5107</v>
      </c>
      <c r="AD87" t="s">
        <v>5892</v>
      </c>
      <c r="AF87" t="s">
        <v>5140</v>
      </c>
      <c r="AJ87" t="s">
        <v>98</v>
      </c>
      <c r="BV87" t="s">
        <v>5887</v>
      </c>
    </row>
    <row r="88" spans="1:74" x14ac:dyDescent="0.2">
      <c r="A88" t="s">
        <v>6684</v>
      </c>
      <c r="B88" t="s">
        <v>6657</v>
      </c>
      <c r="C88" t="s">
        <v>6067</v>
      </c>
      <c r="D88" t="s">
        <v>477</v>
      </c>
      <c r="E88">
        <v>2023</v>
      </c>
      <c r="F88" t="s">
        <v>6068</v>
      </c>
      <c r="G88" s="6" t="s">
        <v>6069</v>
      </c>
      <c r="H88" t="s">
        <v>5662</v>
      </c>
      <c r="I88" t="s">
        <v>5663</v>
      </c>
      <c r="K88" t="s">
        <v>6070</v>
      </c>
      <c r="L88" t="s">
        <v>6071</v>
      </c>
      <c r="N88" s="2">
        <v>45215</v>
      </c>
      <c r="O88" s="1">
        <v>45783.312372685185</v>
      </c>
      <c r="P88" s="1">
        <v>45783.312372685185</v>
      </c>
      <c r="Q88" s="1">
        <v>45783.312372685185</v>
      </c>
      <c r="R88" t="s">
        <v>6072</v>
      </c>
      <c r="AC88" t="s">
        <v>5107</v>
      </c>
      <c r="AD88" t="s">
        <v>5466</v>
      </c>
      <c r="AF88" t="s">
        <v>5109</v>
      </c>
      <c r="AJ88" t="s">
        <v>98</v>
      </c>
      <c r="BV88" t="s">
        <v>5662</v>
      </c>
    </row>
    <row r="89" spans="1:74" x14ac:dyDescent="0.2">
      <c r="A89" t="s">
        <v>7034</v>
      </c>
      <c r="B89" t="s">
        <v>6670</v>
      </c>
      <c r="C89" t="s">
        <v>2297</v>
      </c>
      <c r="D89" t="s">
        <v>477</v>
      </c>
      <c r="E89">
        <v>2019</v>
      </c>
      <c r="F89" t="s">
        <v>2298</v>
      </c>
      <c r="G89" s="6" t="s">
        <v>2299</v>
      </c>
      <c r="H89" t="s">
        <v>1185</v>
      </c>
      <c r="I89" t="s">
        <v>2300</v>
      </c>
      <c r="K89" t="s">
        <v>2301</v>
      </c>
      <c r="L89" t="s">
        <v>2302</v>
      </c>
      <c r="M89" t="s">
        <v>2303</v>
      </c>
      <c r="N89">
        <v>2019</v>
      </c>
      <c r="O89" s="1">
        <v>45783.300162037034</v>
      </c>
      <c r="P89" s="1">
        <v>45783.300162037034</v>
      </c>
      <c r="R89" t="s">
        <v>2304</v>
      </c>
      <c r="U89" t="s">
        <v>2305</v>
      </c>
      <c r="AC89" t="s">
        <v>2306</v>
      </c>
      <c r="AE89" t="s">
        <v>645</v>
      </c>
      <c r="AH89" t="s">
        <v>646</v>
      </c>
      <c r="AL89" t="s">
        <v>1191</v>
      </c>
      <c r="AP89" t="s">
        <v>2307</v>
      </c>
      <c r="AR89" t="s">
        <v>2308</v>
      </c>
      <c r="BV89" t="s">
        <v>1194</v>
      </c>
    </row>
    <row r="90" spans="1:74" x14ac:dyDescent="0.2">
      <c r="A90" t="s">
        <v>6684</v>
      </c>
      <c r="B90" t="s">
        <v>7036</v>
      </c>
      <c r="C90" t="s">
        <v>4882</v>
      </c>
      <c r="D90" t="s">
        <v>102</v>
      </c>
      <c r="E90">
        <v>2015</v>
      </c>
      <c r="F90" t="s">
        <v>4883</v>
      </c>
      <c r="G90" s="6" t="s">
        <v>4884</v>
      </c>
      <c r="H90" t="s">
        <v>4020</v>
      </c>
      <c r="J90" t="s">
        <v>4021</v>
      </c>
      <c r="K90" t="s">
        <v>4885</v>
      </c>
      <c r="L90" t="s">
        <v>4886</v>
      </c>
      <c r="M90" t="s">
        <v>4887</v>
      </c>
      <c r="N90" t="s">
        <v>4888</v>
      </c>
      <c r="O90" s="1">
        <v>45783.306377314817</v>
      </c>
      <c r="P90" s="1">
        <v>45783.306377314817</v>
      </c>
      <c r="R90" t="s">
        <v>4889</v>
      </c>
      <c r="T90">
        <v>2</v>
      </c>
      <c r="U90">
        <v>19</v>
      </c>
      <c r="AL90" t="s">
        <v>3897</v>
      </c>
      <c r="AP90" t="s">
        <v>4890</v>
      </c>
    </row>
    <row r="91" spans="1:74" x14ac:dyDescent="0.2">
      <c r="A91" t="s">
        <v>7034</v>
      </c>
      <c r="B91" t="s">
        <v>6666</v>
      </c>
      <c r="C91" t="s">
        <v>2782</v>
      </c>
      <c r="D91" t="s">
        <v>477</v>
      </c>
      <c r="E91">
        <v>2019</v>
      </c>
      <c r="F91" t="s">
        <v>2783</v>
      </c>
      <c r="G91" s="6" t="s">
        <v>2784</v>
      </c>
      <c r="H91" t="s">
        <v>2785</v>
      </c>
      <c r="I91" t="s">
        <v>2786</v>
      </c>
      <c r="K91" t="s">
        <v>2787</v>
      </c>
      <c r="L91" t="s">
        <v>2788</v>
      </c>
      <c r="M91" t="s">
        <v>2789</v>
      </c>
      <c r="N91">
        <v>2019</v>
      </c>
      <c r="O91" s="1">
        <v>45783.300162037034</v>
      </c>
      <c r="P91" s="1">
        <v>45783.300162037034</v>
      </c>
      <c r="AC91" t="s">
        <v>1167</v>
      </c>
      <c r="AE91" t="s">
        <v>645</v>
      </c>
      <c r="AH91" t="s">
        <v>646</v>
      </c>
      <c r="AL91" t="s">
        <v>2790</v>
      </c>
      <c r="AP91" t="s">
        <v>2791</v>
      </c>
      <c r="BV91" t="s">
        <v>2792</v>
      </c>
    </row>
    <row r="92" spans="1:74" x14ac:dyDescent="0.2">
      <c r="A92" t="s">
        <v>6684</v>
      </c>
      <c r="B92" t="s">
        <v>7035</v>
      </c>
      <c r="C92" t="s">
        <v>4384</v>
      </c>
      <c r="D92" t="s">
        <v>102</v>
      </c>
      <c r="E92">
        <v>2019</v>
      </c>
      <c r="F92" t="s">
        <v>4385</v>
      </c>
      <c r="G92" s="6" t="s">
        <v>4386</v>
      </c>
      <c r="H92" t="s">
        <v>3830</v>
      </c>
      <c r="M92" t="s">
        <v>4387</v>
      </c>
      <c r="N92" t="s">
        <v>4388</v>
      </c>
      <c r="O92" s="1">
        <v>45783.306377314817</v>
      </c>
      <c r="P92" s="1">
        <v>45783.306377314817</v>
      </c>
      <c r="R92" t="s">
        <v>4389</v>
      </c>
      <c r="T92">
        <v>4</v>
      </c>
      <c r="U92">
        <v>14</v>
      </c>
      <c r="AL92" t="s">
        <v>3834</v>
      </c>
      <c r="AP92" t="s">
        <v>4390</v>
      </c>
    </row>
    <row r="93" spans="1:74" x14ac:dyDescent="0.2">
      <c r="A93" t="s">
        <v>6684</v>
      </c>
      <c r="B93" t="s">
        <v>6657</v>
      </c>
      <c r="C93" t="s">
        <v>685</v>
      </c>
      <c r="D93" t="s">
        <v>477</v>
      </c>
      <c r="E93">
        <v>2024</v>
      </c>
      <c r="F93" t="s">
        <v>686</v>
      </c>
      <c r="G93" s="6" t="s">
        <v>687</v>
      </c>
      <c r="H93" t="s">
        <v>688</v>
      </c>
      <c r="I93" t="s">
        <v>689</v>
      </c>
      <c r="K93" t="s">
        <v>690</v>
      </c>
      <c r="L93" t="s">
        <v>691</v>
      </c>
      <c r="M93" t="s">
        <v>692</v>
      </c>
      <c r="N93">
        <v>2024</v>
      </c>
      <c r="O93" s="1">
        <v>45783.300138888888</v>
      </c>
      <c r="P93" s="1">
        <v>45783.300138888888</v>
      </c>
      <c r="R93" t="s">
        <v>693</v>
      </c>
      <c r="AC93" t="s">
        <v>681</v>
      </c>
      <c r="AE93" t="s">
        <v>645</v>
      </c>
      <c r="AH93" t="s">
        <v>646</v>
      </c>
      <c r="AL93" t="s">
        <v>694</v>
      </c>
      <c r="AP93" t="s">
        <v>695</v>
      </c>
      <c r="BV93" t="s">
        <v>696</v>
      </c>
    </row>
    <row r="94" spans="1:74" x14ac:dyDescent="0.2">
      <c r="A94" t="s">
        <v>6684</v>
      </c>
      <c r="B94" t="s">
        <v>7035</v>
      </c>
      <c r="C94" t="s">
        <v>1320</v>
      </c>
      <c r="D94" t="s">
        <v>102</v>
      </c>
      <c r="E94">
        <v>2023</v>
      </c>
      <c r="F94" t="s">
        <v>1321</v>
      </c>
      <c r="G94" s="6" t="s">
        <v>1322</v>
      </c>
      <c r="H94" t="s">
        <v>1323</v>
      </c>
      <c r="J94" t="s">
        <v>1324</v>
      </c>
      <c r="K94" t="s">
        <v>1325</v>
      </c>
      <c r="L94" t="s">
        <v>1326</v>
      </c>
      <c r="M94" t="s">
        <v>1327</v>
      </c>
      <c r="N94">
        <v>2023</v>
      </c>
      <c r="O94" s="1">
        <v>45783.300150462965</v>
      </c>
      <c r="P94" s="1">
        <v>45783.300150462965</v>
      </c>
      <c r="R94" t="s">
        <v>1328</v>
      </c>
      <c r="U94">
        <v>68</v>
      </c>
      <c r="W94" t="s">
        <v>1329</v>
      </c>
      <c r="AE94" t="s">
        <v>645</v>
      </c>
      <c r="AH94" t="s">
        <v>646</v>
      </c>
      <c r="AL94" t="s">
        <v>717</v>
      </c>
      <c r="AP94" t="s">
        <v>1330</v>
      </c>
    </row>
    <row r="95" spans="1:74" x14ac:dyDescent="0.2">
      <c r="A95" t="s">
        <v>7034</v>
      </c>
      <c r="B95" t="s">
        <v>7047</v>
      </c>
      <c r="C95" t="s">
        <v>4065</v>
      </c>
      <c r="D95" t="s">
        <v>477</v>
      </c>
      <c r="E95">
        <v>2018</v>
      </c>
      <c r="F95" t="s">
        <v>4066</v>
      </c>
      <c r="G95" s="6" t="s">
        <v>4067</v>
      </c>
      <c r="H95" t="s">
        <v>4068</v>
      </c>
      <c r="I95" t="s">
        <v>4069</v>
      </c>
      <c r="K95" t="s">
        <v>4070</v>
      </c>
      <c r="L95" t="s">
        <v>4071</v>
      </c>
      <c r="M95" t="s">
        <v>4072</v>
      </c>
      <c r="N95">
        <v>2018</v>
      </c>
      <c r="O95" s="1">
        <v>45783.306377314817</v>
      </c>
      <c r="P95" s="1">
        <v>45783.306377314817</v>
      </c>
      <c r="R95" t="s">
        <v>4073</v>
      </c>
      <c r="AC95" t="s">
        <v>3194</v>
      </c>
      <c r="AD95" t="s">
        <v>589</v>
      </c>
      <c r="AL95" t="s">
        <v>3401</v>
      </c>
      <c r="AP95" t="s">
        <v>4074</v>
      </c>
    </row>
    <row r="96" spans="1:74" x14ac:dyDescent="0.2">
      <c r="A96" t="s">
        <v>6684</v>
      </c>
      <c r="B96" t="s">
        <v>7035</v>
      </c>
      <c r="C96" t="s">
        <v>1877</v>
      </c>
      <c r="D96" t="s">
        <v>102</v>
      </c>
      <c r="E96">
        <v>2022</v>
      </c>
      <c r="F96" t="s">
        <v>1878</v>
      </c>
      <c r="G96" s="6" t="s">
        <v>1879</v>
      </c>
      <c r="H96" t="s">
        <v>1880</v>
      </c>
      <c r="J96" t="s">
        <v>1881</v>
      </c>
      <c r="K96" t="s">
        <v>1882</v>
      </c>
      <c r="L96" t="s">
        <v>1883</v>
      </c>
      <c r="M96" t="s">
        <v>1884</v>
      </c>
      <c r="N96">
        <v>2022</v>
      </c>
      <c r="O96" s="1">
        <v>45783.300162037034</v>
      </c>
      <c r="P96" s="1">
        <v>45783.300162037034</v>
      </c>
      <c r="T96">
        <v>3</v>
      </c>
      <c r="U96">
        <v>15</v>
      </c>
      <c r="W96" t="s">
        <v>1880</v>
      </c>
      <c r="AE96" t="s">
        <v>645</v>
      </c>
      <c r="AH96" t="s">
        <v>646</v>
      </c>
      <c r="AL96" t="s">
        <v>1524</v>
      </c>
      <c r="AP96" t="s">
        <v>1885</v>
      </c>
    </row>
    <row r="97" spans="1:74" x14ac:dyDescent="0.2">
      <c r="A97" t="s">
        <v>6684</v>
      </c>
      <c r="B97" t="s">
        <v>7035</v>
      </c>
      <c r="C97" t="s">
        <v>1290</v>
      </c>
      <c r="D97" t="s">
        <v>102</v>
      </c>
      <c r="E97">
        <v>2024</v>
      </c>
      <c r="F97" t="s">
        <v>1291</v>
      </c>
      <c r="G97" s="6" t="s">
        <v>1292</v>
      </c>
      <c r="H97" t="s">
        <v>1293</v>
      </c>
      <c r="J97" t="s">
        <v>1294</v>
      </c>
      <c r="K97" t="s">
        <v>1295</v>
      </c>
      <c r="L97" t="s">
        <v>1296</v>
      </c>
      <c r="M97" t="s">
        <v>1297</v>
      </c>
      <c r="N97">
        <v>2024</v>
      </c>
      <c r="O97" s="1">
        <v>45783.300150462965</v>
      </c>
      <c r="P97" s="1">
        <v>45783.300150462965</v>
      </c>
      <c r="R97" t="s">
        <v>1298</v>
      </c>
      <c r="T97">
        <v>5</v>
      </c>
      <c r="U97">
        <v>26</v>
      </c>
      <c r="W97" t="s">
        <v>1299</v>
      </c>
      <c r="AE97" t="s">
        <v>645</v>
      </c>
      <c r="AH97" t="s">
        <v>646</v>
      </c>
      <c r="AL97" t="s">
        <v>849</v>
      </c>
      <c r="AP97" t="s">
        <v>1300</v>
      </c>
    </row>
    <row r="98" spans="1:74" x14ac:dyDescent="0.2">
      <c r="A98" t="s">
        <v>6684</v>
      </c>
      <c r="B98" t="s">
        <v>6657</v>
      </c>
      <c r="C98" t="s">
        <v>697</v>
      </c>
      <c r="D98" t="s">
        <v>102</v>
      </c>
      <c r="E98">
        <v>2024</v>
      </c>
      <c r="F98" t="s">
        <v>698</v>
      </c>
      <c r="G98" s="6" t="s">
        <v>699</v>
      </c>
      <c r="H98" t="s">
        <v>700</v>
      </c>
      <c r="J98" t="s">
        <v>701</v>
      </c>
      <c r="K98" t="s">
        <v>702</v>
      </c>
      <c r="L98" t="s">
        <v>703</v>
      </c>
      <c r="M98" t="s">
        <v>704</v>
      </c>
      <c r="N98">
        <v>2024</v>
      </c>
      <c r="O98" s="1">
        <v>45783.300138888888</v>
      </c>
      <c r="P98" s="1">
        <v>45783.300138888888</v>
      </c>
      <c r="U98">
        <v>160</v>
      </c>
      <c r="W98" t="s">
        <v>705</v>
      </c>
      <c r="AE98" t="s">
        <v>645</v>
      </c>
      <c r="AH98" t="s">
        <v>646</v>
      </c>
      <c r="AL98" t="s">
        <v>706</v>
      </c>
      <c r="AP98" t="s">
        <v>707</v>
      </c>
    </row>
    <row r="99" spans="1:74" x14ac:dyDescent="0.2">
      <c r="A99" t="s">
        <v>6684</v>
      </c>
      <c r="B99" t="s">
        <v>7035</v>
      </c>
      <c r="C99" t="s">
        <v>3815</v>
      </c>
      <c r="D99" t="s">
        <v>477</v>
      </c>
      <c r="E99">
        <v>2024</v>
      </c>
      <c r="F99" t="s">
        <v>3816</v>
      </c>
      <c r="G99" s="6" t="s">
        <v>3817</v>
      </c>
      <c r="H99" t="s">
        <v>3818</v>
      </c>
      <c r="I99" t="s">
        <v>3819</v>
      </c>
      <c r="K99" t="s">
        <v>3820</v>
      </c>
      <c r="L99" t="s">
        <v>3821</v>
      </c>
      <c r="M99" t="s">
        <v>3822</v>
      </c>
      <c r="N99">
        <v>2024</v>
      </c>
      <c r="O99" s="1">
        <v>45783.30636574074</v>
      </c>
      <c r="P99" s="1">
        <v>45783.30636574074</v>
      </c>
      <c r="R99" t="s">
        <v>3823</v>
      </c>
      <c r="Y99" t="s">
        <v>3824</v>
      </c>
      <c r="AC99" t="s">
        <v>1167</v>
      </c>
      <c r="AD99" t="s">
        <v>3218</v>
      </c>
      <c r="AL99" t="s">
        <v>3825</v>
      </c>
      <c r="AP99" t="s">
        <v>3826</v>
      </c>
    </row>
    <row r="100" spans="1:74" x14ac:dyDescent="0.2">
      <c r="A100" t="s">
        <v>7034</v>
      </c>
      <c r="B100" t="s">
        <v>7048</v>
      </c>
      <c r="C100" t="s">
        <v>6303</v>
      </c>
      <c r="D100" t="s">
        <v>102</v>
      </c>
      <c r="E100">
        <v>2019</v>
      </c>
      <c r="F100" t="s">
        <v>6304</v>
      </c>
      <c r="G100" s="6" t="s">
        <v>6305</v>
      </c>
      <c r="H100" t="s">
        <v>5226</v>
      </c>
      <c r="J100" t="s">
        <v>5621</v>
      </c>
      <c r="K100" t="s">
        <v>6306</v>
      </c>
      <c r="L100" t="s">
        <v>6307</v>
      </c>
      <c r="M100" t="s">
        <v>6308</v>
      </c>
      <c r="N100" s="2">
        <v>43754</v>
      </c>
      <c r="O100" s="1">
        <v>45783.313449074078</v>
      </c>
      <c r="P100" s="1">
        <v>45783.313449074078</v>
      </c>
      <c r="Q100" s="1">
        <v>45783.313449074078</v>
      </c>
      <c r="R100" t="s">
        <v>6309</v>
      </c>
      <c r="T100">
        <v>5</v>
      </c>
      <c r="U100">
        <v>31</v>
      </c>
      <c r="X100" t="s">
        <v>6310</v>
      </c>
      <c r="AE100" t="s">
        <v>97</v>
      </c>
      <c r="AF100" t="s">
        <v>6311</v>
      </c>
      <c r="AJ100" t="s">
        <v>98</v>
      </c>
    </row>
    <row r="101" spans="1:74" x14ac:dyDescent="0.2">
      <c r="A101" t="s">
        <v>6684</v>
      </c>
      <c r="B101" t="s">
        <v>7035</v>
      </c>
      <c r="C101" t="s">
        <v>5422</v>
      </c>
      <c r="D101" t="s">
        <v>477</v>
      </c>
      <c r="E101">
        <v>2017</v>
      </c>
      <c r="F101" t="s">
        <v>5423</v>
      </c>
      <c r="G101" s="6" t="s">
        <v>5424</v>
      </c>
      <c r="H101" t="s">
        <v>5425</v>
      </c>
      <c r="I101" t="s">
        <v>5426</v>
      </c>
      <c r="K101" t="s">
        <v>5427</v>
      </c>
      <c r="L101" t="s">
        <v>5428</v>
      </c>
      <c r="N101">
        <v>2017</v>
      </c>
      <c r="O101" s="1">
        <v>45783.311400462961</v>
      </c>
      <c r="P101" s="1">
        <v>45783.311400462961</v>
      </c>
      <c r="Q101" s="1">
        <v>45783.311400462961</v>
      </c>
      <c r="R101" t="s">
        <v>5429</v>
      </c>
      <c r="AC101" t="s">
        <v>5107</v>
      </c>
      <c r="AD101" t="s">
        <v>5430</v>
      </c>
      <c r="AJ101" t="s">
        <v>98</v>
      </c>
      <c r="BV101" t="s">
        <v>5425</v>
      </c>
    </row>
    <row r="102" spans="1:74" x14ac:dyDescent="0.2">
      <c r="A102" t="s">
        <v>6684</v>
      </c>
      <c r="B102" t="s">
        <v>7051</v>
      </c>
      <c r="C102" t="s">
        <v>150</v>
      </c>
      <c r="D102" t="s">
        <v>88</v>
      </c>
      <c r="E102">
        <v>2025</v>
      </c>
      <c r="F102" t="s">
        <v>151</v>
      </c>
      <c r="G102" s="6" t="s">
        <v>152</v>
      </c>
      <c r="H102" t="s">
        <v>124</v>
      </c>
      <c r="I102" t="s">
        <v>125</v>
      </c>
      <c r="L102" t="s">
        <v>153</v>
      </c>
      <c r="N102">
        <v>2025</v>
      </c>
      <c r="O102" s="1">
        <v>45783.293032407404</v>
      </c>
      <c r="P102" s="1">
        <v>45783.293032407404</v>
      </c>
      <c r="Q102" s="1">
        <v>45783.293032407404</v>
      </c>
      <c r="R102" t="s">
        <v>154</v>
      </c>
      <c r="U102">
        <v>2319</v>
      </c>
      <c r="AC102" t="s">
        <v>95</v>
      </c>
      <c r="AD102" t="s">
        <v>96</v>
      </c>
      <c r="AE102" t="s">
        <v>97</v>
      </c>
      <c r="AJ102" t="s">
        <v>98</v>
      </c>
      <c r="AL102" t="s">
        <v>155</v>
      </c>
      <c r="AR102" t="s">
        <v>129</v>
      </c>
    </row>
    <row r="103" spans="1:74" x14ac:dyDescent="0.2">
      <c r="A103" t="s">
        <v>6684</v>
      </c>
      <c r="B103" t="s">
        <v>7035</v>
      </c>
      <c r="C103" t="s">
        <v>6111</v>
      </c>
      <c r="D103" t="s">
        <v>102</v>
      </c>
      <c r="E103">
        <v>2025</v>
      </c>
      <c r="F103" t="s">
        <v>6112</v>
      </c>
      <c r="G103" s="6" t="s">
        <v>6113</v>
      </c>
      <c r="H103" t="s">
        <v>6114</v>
      </c>
      <c r="J103" t="s">
        <v>6115</v>
      </c>
      <c r="K103" t="s">
        <v>6116</v>
      </c>
      <c r="L103" t="s">
        <v>6117</v>
      </c>
      <c r="N103">
        <v>2025</v>
      </c>
      <c r="O103" s="1">
        <v>45783.312418981484</v>
      </c>
      <c r="P103" s="1">
        <v>45783.312418981484</v>
      </c>
      <c r="Q103" s="1">
        <v>45783.312418981484</v>
      </c>
      <c r="R103" t="s">
        <v>6118</v>
      </c>
      <c r="U103">
        <v>13</v>
      </c>
      <c r="W103" t="s">
        <v>6114</v>
      </c>
      <c r="X103" t="s">
        <v>6119</v>
      </c>
      <c r="AF103" t="s">
        <v>6120</v>
      </c>
      <c r="AJ103" t="s">
        <v>98</v>
      </c>
      <c r="AN103" t="s">
        <v>6121</v>
      </c>
    </row>
    <row r="104" spans="1:74" x14ac:dyDescent="0.2">
      <c r="A104" t="s">
        <v>7033</v>
      </c>
      <c r="B104" t="s">
        <v>7041</v>
      </c>
      <c r="C104" t="s">
        <v>3109</v>
      </c>
      <c r="D104" t="s">
        <v>102</v>
      </c>
      <c r="E104">
        <v>2006</v>
      </c>
      <c r="F104" t="s">
        <v>3110</v>
      </c>
      <c r="G104" s="6" t="s">
        <v>3111</v>
      </c>
      <c r="H104" t="s">
        <v>3112</v>
      </c>
      <c r="J104" t="s">
        <v>3113</v>
      </c>
      <c r="K104" t="s">
        <v>3114</v>
      </c>
      <c r="L104" t="s">
        <v>3115</v>
      </c>
      <c r="M104" t="s">
        <v>3116</v>
      </c>
      <c r="N104">
        <v>2006</v>
      </c>
      <c r="O104" s="1">
        <v>45783.300173611111</v>
      </c>
      <c r="P104" s="1">
        <v>45783.300173611111</v>
      </c>
      <c r="R104" t="s">
        <v>3117</v>
      </c>
      <c r="T104">
        <v>6</v>
      </c>
      <c r="U104">
        <v>45</v>
      </c>
      <c r="W104" t="s">
        <v>3118</v>
      </c>
      <c r="AE104" t="s">
        <v>645</v>
      </c>
      <c r="AH104" t="s">
        <v>646</v>
      </c>
      <c r="AL104" t="s">
        <v>3119</v>
      </c>
      <c r="AP104" t="s">
        <v>3120</v>
      </c>
    </row>
    <row r="105" spans="1:74" x14ac:dyDescent="0.2">
      <c r="A105" t="s">
        <v>6684</v>
      </c>
      <c r="B105" t="s">
        <v>6657</v>
      </c>
      <c r="C105" t="s">
        <v>1843</v>
      </c>
      <c r="D105" t="s">
        <v>102</v>
      </c>
      <c r="E105">
        <v>2022</v>
      </c>
      <c r="F105" t="s">
        <v>1844</v>
      </c>
      <c r="G105" s="6" t="s">
        <v>1845</v>
      </c>
      <c r="H105" t="s">
        <v>1846</v>
      </c>
      <c r="J105" t="s">
        <v>1847</v>
      </c>
      <c r="K105" t="s">
        <v>1848</v>
      </c>
      <c r="L105" t="s">
        <v>1849</v>
      </c>
      <c r="M105" t="s">
        <v>1850</v>
      </c>
      <c r="N105">
        <v>2022</v>
      </c>
      <c r="O105" s="1">
        <v>45783.300162037034</v>
      </c>
      <c r="P105" s="1">
        <v>45783.300162037034</v>
      </c>
      <c r="R105" t="s">
        <v>1851</v>
      </c>
      <c r="T105">
        <v>2</v>
      </c>
      <c r="U105">
        <v>13</v>
      </c>
      <c r="W105" t="s">
        <v>1852</v>
      </c>
      <c r="AE105" t="s">
        <v>645</v>
      </c>
      <c r="AH105" t="s">
        <v>646</v>
      </c>
      <c r="AL105" t="s">
        <v>1156</v>
      </c>
      <c r="AP105" t="s">
        <v>1853</v>
      </c>
    </row>
    <row r="106" spans="1:74" x14ac:dyDescent="0.2">
      <c r="A106" t="s">
        <v>6684</v>
      </c>
      <c r="B106" t="s">
        <v>6657</v>
      </c>
      <c r="C106" t="s">
        <v>6585</v>
      </c>
      <c r="D106" t="s">
        <v>102</v>
      </c>
      <c r="E106">
        <v>2025</v>
      </c>
      <c r="F106" t="s">
        <v>6586</v>
      </c>
      <c r="G106" s="6" t="s">
        <v>6587</v>
      </c>
      <c r="H106" t="s">
        <v>1077</v>
      </c>
      <c r="J106" t="s">
        <v>6588</v>
      </c>
      <c r="K106" t="s">
        <v>6589</v>
      </c>
      <c r="L106" t="s">
        <v>6590</v>
      </c>
      <c r="N106">
        <v>2025</v>
      </c>
      <c r="O106" s="1">
        <v>45783.313773148147</v>
      </c>
      <c r="P106" s="1">
        <v>45783.453020833331</v>
      </c>
      <c r="Q106" s="1">
        <v>45783.313773148147</v>
      </c>
      <c r="R106" t="s">
        <v>6591</v>
      </c>
      <c r="U106">
        <v>22</v>
      </c>
      <c r="W106" t="s">
        <v>6592</v>
      </c>
      <c r="AF106" t="s">
        <v>5140</v>
      </c>
      <c r="AH106" t="s">
        <v>646</v>
      </c>
      <c r="AJ106" t="s">
        <v>98</v>
      </c>
      <c r="AP106" t="s">
        <v>6593</v>
      </c>
    </row>
    <row r="107" spans="1:74" x14ac:dyDescent="0.2">
      <c r="A107" t="s">
        <v>6684</v>
      </c>
      <c r="B107" t="s">
        <v>6653</v>
      </c>
      <c r="C107" t="s">
        <v>6617</v>
      </c>
      <c r="D107" t="s">
        <v>102</v>
      </c>
      <c r="E107">
        <v>2023</v>
      </c>
      <c r="F107" t="s">
        <v>6618</v>
      </c>
      <c r="G107" s="6" t="s">
        <v>6619</v>
      </c>
      <c r="H107" t="s">
        <v>6620</v>
      </c>
      <c r="J107" t="s">
        <v>6621</v>
      </c>
      <c r="K107" t="s">
        <v>6622</v>
      </c>
      <c r="L107" t="s">
        <v>6623</v>
      </c>
      <c r="N107" t="s">
        <v>6624</v>
      </c>
      <c r="O107" s="1">
        <v>45783.31391203704</v>
      </c>
      <c r="P107" s="1">
        <v>45783.38045138889</v>
      </c>
      <c r="Q107" s="1">
        <v>45783.31391203704</v>
      </c>
      <c r="R107" t="s">
        <v>6625</v>
      </c>
      <c r="T107">
        <v>1</v>
      </c>
      <c r="U107">
        <v>18</v>
      </c>
      <c r="W107" t="s">
        <v>6626</v>
      </c>
      <c r="AE107" t="s">
        <v>645</v>
      </c>
      <c r="AF107" t="s">
        <v>5140</v>
      </c>
      <c r="AJ107" t="s">
        <v>98</v>
      </c>
      <c r="AP107" t="s">
        <v>6627</v>
      </c>
    </row>
    <row r="108" spans="1:74" x14ac:dyDescent="0.2">
      <c r="A108" t="s">
        <v>7033</v>
      </c>
      <c r="B108" t="s">
        <v>7041</v>
      </c>
      <c r="C108" t="s">
        <v>4435</v>
      </c>
      <c r="D108" t="s">
        <v>102</v>
      </c>
      <c r="E108">
        <v>2020</v>
      </c>
      <c r="F108" t="s">
        <v>4436</v>
      </c>
      <c r="G108" s="6" t="s">
        <v>4437</v>
      </c>
      <c r="H108" t="s">
        <v>4438</v>
      </c>
      <c r="J108" t="s">
        <v>4439</v>
      </c>
      <c r="K108" t="s">
        <v>4440</v>
      </c>
      <c r="L108" t="s">
        <v>4441</v>
      </c>
      <c r="M108" t="s">
        <v>4442</v>
      </c>
      <c r="N108" t="s">
        <v>3947</v>
      </c>
      <c r="O108" s="1">
        <v>45783.306377314817</v>
      </c>
      <c r="P108" s="1">
        <v>45783.306377314817</v>
      </c>
      <c r="R108" t="s">
        <v>4443</v>
      </c>
      <c r="T108">
        <v>2</v>
      </c>
      <c r="U108">
        <v>35</v>
      </c>
      <c r="AL108" t="s">
        <v>3350</v>
      </c>
      <c r="AP108" t="s">
        <v>4444</v>
      </c>
    </row>
    <row r="109" spans="1:74" x14ac:dyDescent="0.2">
      <c r="A109" t="s">
        <v>6684</v>
      </c>
      <c r="B109" t="s">
        <v>7035</v>
      </c>
      <c r="C109" t="s">
        <v>6102</v>
      </c>
      <c r="D109" t="s">
        <v>102</v>
      </c>
      <c r="E109">
        <v>2024</v>
      </c>
      <c r="F109" t="s">
        <v>6103</v>
      </c>
      <c r="G109" s="6" t="s">
        <v>6104</v>
      </c>
      <c r="H109" t="s">
        <v>1376</v>
      </c>
      <c r="J109" t="s">
        <v>6105</v>
      </c>
      <c r="K109" t="s">
        <v>6106</v>
      </c>
      <c r="L109" t="s">
        <v>6107</v>
      </c>
      <c r="N109" t="s">
        <v>6108</v>
      </c>
      <c r="O109" s="1">
        <v>45783.312418981484</v>
      </c>
      <c r="P109" s="1">
        <v>45783.312418981484</v>
      </c>
      <c r="Q109" s="1">
        <v>45783.312418981484</v>
      </c>
      <c r="R109" t="s">
        <v>6109</v>
      </c>
      <c r="T109">
        <v>11</v>
      </c>
      <c r="U109">
        <v>30</v>
      </c>
      <c r="W109" t="s">
        <v>3713</v>
      </c>
      <c r="X109" t="s">
        <v>6110</v>
      </c>
      <c r="AF109" t="s">
        <v>5140</v>
      </c>
      <c r="AJ109" t="s">
        <v>98</v>
      </c>
    </row>
    <row r="110" spans="1:74" x14ac:dyDescent="0.2">
      <c r="A110" t="s">
        <v>7034</v>
      </c>
      <c r="B110" t="s">
        <v>7048</v>
      </c>
      <c r="C110" t="s">
        <v>6373</v>
      </c>
      <c r="D110" t="s">
        <v>477</v>
      </c>
      <c r="E110">
        <v>2023</v>
      </c>
      <c r="F110" t="s">
        <v>6374</v>
      </c>
      <c r="G110" s="6" t="s">
        <v>6375</v>
      </c>
      <c r="H110" t="s">
        <v>6376</v>
      </c>
      <c r="I110" t="s">
        <v>6377</v>
      </c>
      <c r="K110" t="s">
        <v>6378</v>
      </c>
      <c r="L110" t="s">
        <v>6379</v>
      </c>
      <c r="N110" s="2">
        <v>45240</v>
      </c>
      <c r="O110" s="1">
        <v>45783.313506944447</v>
      </c>
      <c r="P110" s="1">
        <v>45783.407905092594</v>
      </c>
      <c r="Q110" s="1">
        <v>45783.313506944447</v>
      </c>
      <c r="R110" t="s">
        <v>6380</v>
      </c>
      <c r="AC110" t="s">
        <v>5107</v>
      </c>
      <c r="AD110" t="s">
        <v>6381</v>
      </c>
      <c r="AF110" t="s">
        <v>5109</v>
      </c>
      <c r="AJ110" t="s">
        <v>98</v>
      </c>
      <c r="AP110" t="s">
        <v>6382</v>
      </c>
      <c r="BV110" t="s">
        <v>6376</v>
      </c>
    </row>
    <row r="111" spans="1:74" x14ac:dyDescent="0.2">
      <c r="A111" t="s">
        <v>7034</v>
      </c>
      <c r="B111" t="s">
        <v>6662</v>
      </c>
      <c r="C111" t="s">
        <v>3437</v>
      </c>
      <c r="D111" t="s">
        <v>102</v>
      </c>
      <c r="E111">
        <v>2019</v>
      </c>
      <c r="F111" t="s">
        <v>3438</v>
      </c>
      <c r="G111" s="6" t="s">
        <v>3439</v>
      </c>
      <c r="H111" t="s">
        <v>3440</v>
      </c>
      <c r="J111" t="s">
        <v>3441</v>
      </c>
      <c r="K111" t="s">
        <v>3442</v>
      </c>
      <c r="L111" t="s">
        <v>3443</v>
      </c>
      <c r="M111" t="s">
        <v>3444</v>
      </c>
      <c r="N111" t="s">
        <v>3445</v>
      </c>
      <c r="O111" s="1">
        <v>45783.30636574074</v>
      </c>
      <c r="P111" s="1">
        <v>45783.408333333333</v>
      </c>
      <c r="T111">
        <v>3</v>
      </c>
      <c r="U111">
        <v>26</v>
      </c>
      <c r="W111" t="s">
        <v>3446</v>
      </c>
      <c r="AL111" t="s">
        <v>3263</v>
      </c>
      <c r="AP111" t="s">
        <v>3447</v>
      </c>
    </row>
    <row r="112" spans="1:74" x14ac:dyDescent="0.2">
      <c r="A112" t="s">
        <v>7034</v>
      </c>
      <c r="B112" t="s">
        <v>6662</v>
      </c>
      <c r="C112" t="s">
        <v>3802</v>
      </c>
      <c r="D112" t="s">
        <v>477</v>
      </c>
      <c r="E112">
        <v>2022</v>
      </c>
      <c r="F112" t="s">
        <v>3803</v>
      </c>
      <c r="G112" s="6" t="s">
        <v>3804</v>
      </c>
      <c r="H112" t="s">
        <v>3805</v>
      </c>
      <c r="I112" t="s">
        <v>3806</v>
      </c>
      <c r="K112" t="s">
        <v>3807</v>
      </c>
      <c r="L112" t="s">
        <v>3808</v>
      </c>
      <c r="M112" t="s">
        <v>3809</v>
      </c>
      <c r="N112">
        <v>2022</v>
      </c>
      <c r="O112" s="1">
        <v>45783.30636574074</v>
      </c>
      <c r="P112" s="1">
        <v>45783.408634259256</v>
      </c>
      <c r="R112" t="s">
        <v>3810</v>
      </c>
      <c r="Y112" t="s">
        <v>3811</v>
      </c>
      <c r="AC112" t="s">
        <v>1167</v>
      </c>
      <c r="AD112" t="s">
        <v>3218</v>
      </c>
      <c r="AL112" t="s">
        <v>3812</v>
      </c>
      <c r="AP112" t="s">
        <v>3813</v>
      </c>
      <c r="BV112" t="s">
        <v>3814</v>
      </c>
    </row>
    <row r="113" spans="1:74" x14ac:dyDescent="0.2">
      <c r="A113" t="s">
        <v>6684</v>
      </c>
      <c r="B113" t="s">
        <v>7036</v>
      </c>
      <c r="C113" t="s">
        <v>2057</v>
      </c>
      <c r="D113" t="s">
        <v>477</v>
      </c>
      <c r="E113">
        <v>2020</v>
      </c>
      <c r="F113" t="s">
        <v>2058</v>
      </c>
      <c r="G113" s="6" t="s">
        <v>2059</v>
      </c>
      <c r="H113" t="s">
        <v>2060</v>
      </c>
      <c r="I113" t="s">
        <v>2061</v>
      </c>
      <c r="K113" t="s">
        <v>2062</v>
      </c>
      <c r="L113" t="s">
        <v>2063</v>
      </c>
      <c r="M113" t="s">
        <v>2064</v>
      </c>
      <c r="N113">
        <v>2020</v>
      </c>
      <c r="O113" s="1">
        <v>45783.300162037034</v>
      </c>
      <c r="P113" s="1">
        <v>45783.300162037034</v>
      </c>
      <c r="R113" t="s">
        <v>2065</v>
      </c>
      <c r="AC113" t="s">
        <v>681</v>
      </c>
      <c r="AE113" t="s">
        <v>645</v>
      </c>
      <c r="AH113" t="s">
        <v>646</v>
      </c>
      <c r="AL113" t="s">
        <v>2066</v>
      </c>
      <c r="AP113" t="s">
        <v>2067</v>
      </c>
      <c r="AR113" t="s">
        <v>2068</v>
      </c>
      <c r="BV113" t="s">
        <v>2069</v>
      </c>
    </row>
    <row r="114" spans="1:74" x14ac:dyDescent="0.2">
      <c r="A114" t="s">
        <v>7034</v>
      </c>
      <c r="B114" t="s">
        <v>6662</v>
      </c>
      <c r="C114" t="s">
        <v>390</v>
      </c>
      <c r="D114" t="s">
        <v>88</v>
      </c>
      <c r="E114">
        <v>2022</v>
      </c>
      <c r="F114" t="s">
        <v>391</v>
      </c>
      <c r="G114" s="6" t="s">
        <v>392</v>
      </c>
      <c r="H114" t="s">
        <v>393</v>
      </c>
      <c r="I114" t="s">
        <v>394</v>
      </c>
      <c r="L114" t="s">
        <v>395</v>
      </c>
      <c r="N114">
        <v>2022</v>
      </c>
      <c r="O114" s="1">
        <v>45783.293356481481</v>
      </c>
      <c r="P114" s="1">
        <v>45783.293356481481</v>
      </c>
      <c r="Q114" s="1">
        <v>45783.293356481481</v>
      </c>
      <c r="R114" t="s">
        <v>396</v>
      </c>
      <c r="U114">
        <v>13482</v>
      </c>
      <c r="AC114" t="s">
        <v>262</v>
      </c>
      <c r="AD114" t="s">
        <v>96</v>
      </c>
      <c r="AE114" t="s">
        <v>97</v>
      </c>
      <c r="AJ114" t="s">
        <v>98</v>
      </c>
      <c r="AL114" t="s">
        <v>397</v>
      </c>
      <c r="AR114" t="s">
        <v>398</v>
      </c>
    </row>
    <row r="115" spans="1:74" x14ac:dyDescent="0.2">
      <c r="A115" t="s">
        <v>6684</v>
      </c>
      <c r="B115" t="s">
        <v>7050</v>
      </c>
      <c r="C115" t="s">
        <v>5485</v>
      </c>
      <c r="D115" t="s">
        <v>477</v>
      </c>
      <c r="E115">
        <v>2023</v>
      </c>
      <c r="F115" t="s">
        <v>5486</v>
      </c>
      <c r="G115" s="6" t="s">
        <v>5487</v>
      </c>
      <c r="H115" t="s">
        <v>5488</v>
      </c>
      <c r="I115" t="s">
        <v>5489</v>
      </c>
      <c r="K115" t="s">
        <v>5490</v>
      </c>
      <c r="L115" t="s">
        <v>5491</v>
      </c>
      <c r="N115" s="2">
        <v>45183</v>
      </c>
      <c r="O115" s="1">
        <v>45783.311469907407</v>
      </c>
      <c r="P115" s="1">
        <v>45783.311469907407</v>
      </c>
      <c r="Q115" s="1">
        <v>45783.311469907407</v>
      </c>
      <c r="R115" t="s">
        <v>5492</v>
      </c>
      <c r="AC115" t="s">
        <v>5107</v>
      </c>
      <c r="AD115" t="s">
        <v>5250</v>
      </c>
      <c r="AF115" t="s">
        <v>5109</v>
      </c>
      <c r="AJ115" t="s">
        <v>98</v>
      </c>
      <c r="BV115" t="s">
        <v>5488</v>
      </c>
    </row>
    <row r="116" spans="1:74" x14ac:dyDescent="0.2">
      <c r="A116" t="s">
        <v>6684</v>
      </c>
      <c r="B116" t="s">
        <v>7037</v>
      </c>
      <c r="C116" t="s">
        <v>2399</v>
      </c>
      <c r="D116" t="s">
        <v>477</v>
      </c>
      <c r="E116">
        <v>2012</v>
      </c>
      <c r="F116" t="s">
        <v>2400</v>
      </c>
      <c r="G116" s="6" t="s">
        <v>2401</v>
      </c>
      <c r="H116" t="s">
        <v>2402</v>
      </c>
      <c r="I116" t="s">
        <v>2403</v>
      </c>
      <c r="L116" t="s">
        <v>2404</v>
      </c>
      <c r="M116" t="s">
        <v>2405</v>
      </c>
      <c r="N116">
        <v>2012</v>
      </c>
      <c r="O116" s="1">
        <v>45783.300162037034</v>
      </c>
      <c r="P116" s="1">
        <v>45783.300162037034</v>
      </c>
      <c r="AC116" t="s">
        <v>2406</v>
      </c>
      <c r="AE116" t="s">
        <v>645</v>
      </c>
      <c r="AH116" t="s">
        <v>646</v>
      </c>
      <c r="AL116" t="s">
        <v>2407</v>
      </c>
      <c r="AP116" t="s">
        <v>2408</v>
      </c>
      <c r="BV116" t="s">
        <v>2409</v>
      </c>
    </row>
    <row r="117" spans="1:74" x14ac:dyDescent="0.2">
      <c r="A117" t="s">
        <v>7034</v>
      </c>
      <c r="B117" t="s">
        <v>7048</v>
      </c>
      <c r="C117" t="s">
        <v>2499</v>
      </c>
      <c r="D117" t="s">
        <v>477</v>
      </c>
      <c r="E117">
        <v>2012</v>
      </c>
      <c r="F117" t="s">
        <v>2500</v>
      </c>
      <c r="G117" s="6" t="s">
        <v>2501</v>
      </c>
      <c r="H117" t="s">
        <v>1185</v>
      </c>
      <c r="I117" t="s">
        <v>2502</v>
      </c>
      <c r="K117" t="s">
        <v>2503</v>
      </c>
      <c r="L117" t="s">
        <v>2504</v>
      </c>
      <c r="M117" t="s">
        <v>2505</v>
      </c>
      <c r="N117">
        <v>2012</v>
      </c>
      <c r="O117" s="1">
        <v>45783.300162037034</v>
      </c>
      <c r="P117" s="1">
        <v>45783.300162037034</v>
      </c>
      <c r="R117" t="s">
        <v>2506</v>
      </c>
      <c r="U117" t="s">
        <v>2507</v>
      </c>
      <c r="AC117" t="s">
        <v>2306</v>
      </c>
      <c r="AE117" t="s">
        <v>645</v>
      </c>
      <c r="AH117" t="s">
        <v>646</v>
      </c>
      <c r="AL117" t="s">
        <v>1191</v>
      </c>
      <c r="AP117" t="s">
        <v>2508</v>
      </c>
      <c r="AR117" t="s">
        <v>2509</v>
      </c>
      <c r="BV117" t="s">
        <v>1194</v>
      </c>
    </row>
    <row r="118" spans="1:74" x14ac:dyDescent="0.2">
      <c r="A118" t="s">
        <v>6684</v>
      </c>
      <c r="B118" t="s">
        <v>7036</v>
      </c>
      <c r="C118" t="s">
        <v>1648</v>
      </c>
      <c r="D118" t="s">
        <v>477</v>
      </c>
      <c r="E118">
        <v>2021</v>
      </c>
      <c r="F118" t="s">
        <v>1649</v>
      </c>
      <c r="G118" s="6" t="s">
        <v>1650</v>
      </c>
      <c r="H118" t="s">
        <v>1651</v>
      </c>
      <c r="I118" t="s">
        <v>1652</v>
      </c>
      <c r="K118" t="s">
        <v>1653</v>
      </c>
      <c r="L118" t="s">
        <v>1654</v>
      </c>
      <c r="M118" t="s">
        <v>1655</v>
      </c>
      <c r="N118">
        <v>2021</v>
      </c>
      <c r="O118" s="1">
        <v>45783.300150462965</v>
      </c>
      <c r="P118" s="1">
        <v>45783.300150462965</v>
      </c>
      <c r="AC118" t="s">
        <v>801</v>
      </c>
      <c r="AE118" t="s">
        <v>645</v>
      </c>
      <c r="AH118" t="s">
        <v>646</v>
      </c>
      <c r="AL118" t="s">
        <v>1656</v>
      </c>
      <c r="AP118" t="s">
        <v>1657</v>
      </c>
      <c r="BV118" t="s">
        <v>1658</v>
      </c>
    </row>
    <row r="119" spans="1:74" x14ac:dyDescent="0.2">
      <c r="A119" t="s">
        <v>6684</v>
      </c>
      <c r="B119" t="s">
        <v>7035</v>
      </c>
      <c r="C119" t="s">
        <v>5950</v>
      </c>
      <c r="D119" t="s">
        <v>477</v>
      </c>
      <c r="E119">
        <v>2003</v>
      </c>
      <c r="F119" t="s">
        <v>5951</v>
      </c>
      <c r="G119" s="6" t="s">
        <v>5952</v>
      </c>
      <c r="H119" t="s">
        <v>5953</v>
      </c>
      <c r="I119" t="s">
        <v>5954</v>
      </c>
      <c r="K119" t="s">
        <v>5955</v>
      </c>
      <c r="L119" t="s">
        <v>5956</v>
      </c>
      <c r="N119">
        <v>2003</v>
      </c>
      <c r="O119" s="1">
        <v>45783.312106481484</v>
      </c>
      <c r="P119" s="1">
        <v>45783.312106481484</v>
      </c>
      <c r="Q119" s="1">
        <v>45783.312106481484</v>
      </c>
      <c r="R119" t="s">
        <v>5957</v>
      </c>
      <c r="AC119" t="s">
        <v>5107</v>
      </c>
      <c r="AD119" t="s">
        <v>5958</v>
      </c>
      <c r="AJ119" t="s">
        <v>98</v>
      </c>
      <c r="AN119" t="s">
        <v>5959</v>
      </c>
      <c r="BV119" t="s">
        <v>5960</v>
      </c>
    </row>
    <row r="120" spans="1:74" x14ac:dyDescent="0.2">
      <c r="A120" t="s">
        <v>6684</v>
      </c>
      <c r="B120" t="s">
        <v>7035</v>
      </c>
      <c r="C120" t="s">
        <v>1441</v>
      </c>
      <c r="D120" t="s">
        <v>477</v>
      </c>
      <c r="E120">
        <v>2022</v>
      </c>
      <c r="F120" t="s">
        <v>1442</v>
      </c>
      <c r="G120" s="6" t="s">
        <v>1443</v>
      </c>
      <c r="H120" t="s">
        <v>1444</v>
      </c>
      <c r="I120" t="s">
        <v>1445</v>
      </c>
      <c r="K120" t="s">
        <v>1446</v>
      </c>
      <c r="L120" t="s">
        <v>1447</v>
      </c>
      <c r="M120" t="s">
        <v>1448</v>
      </c>
      <c r="N120">
        <v>2022</v>
      </c>
      <c r="O120" s="1">
        <v>45783.300150462965</v>
      </c>
      <c r="P120" s="1">
        <v>45783.300150462965</v>
      </c>
      <c r="R120" t="s">
        <v>1449</v>
      </c>
      <c r="AC120" t="s">
        <v>681</v>
      </c>
      <c r="AE120" t="s">
        <v>645</v>
      </c>
      <c r="AH120" t="s">
        <v>646</v>
      </c>
      <c r="AL120" t="s">
        <v>1450</v>
      </c>
      <c r="AP120" t="s">
        <v>1451</v>
      </c>
      <c r="BV120" t="s">
        <v>1452</v>
      </c>
    </row>
    <row r="121" spans="1:74" x14ac:dyDescent="0.2">
      <c r="A121" t="s">
        <v>7034</v>
      </c>
      <c r="B121" t="s">
        <v>7048</v>
      </c>
      <c r="C121" t="s">
        <v>2001</v>
      </c>
      <c r="D121" t="s">
        <v>102</v>
      </c>
      <c r="E121">
        <v>2022</v>
      </c>
      <c r="F121" t="s">
        <v>2002</v>
      </c>
      <c r="G121" s="6" t="s">
        <v>2003</v>
      </c>
      <c r="H121" t="s">
        <v>2004</v>
      </c>
      <c r="J121" t="s">
        <v>2005</v>
      </c>
      <c r="K121" t="s">
        <v>2006</v>
      </c>
      <c r="L121" t="s">
        <v>2007</v>
      </c>
      <c r="M121" t="s">
        <v>2008</v>
      </c>
      <c r="N121">
        <v>2022</v>
      </c>
      <c r="O121" s="1">
        <v>45783.300162037034</v>
      </c>
      <c r="P121" s="1">
        <v>45783.300162037034</v>
      </c>
      <c r="T121">
        <v>4</v>
      </c>
      <c r="U121">
        <v>3</v>
      </c>
      <c r="W121" t="s">
        <v>2009</v>
      </c>
      <c r="AE121" t="s">
        <v>645</v>
      </c>
      <c r="AH121" t="s">
        <v>646</v>
      </c>
      <c r="AL121" t="s">
        <v>1340</v>
      </c>
      <c r="AP121" t="s">
        <v>2010</v>
      </c>
    </row>
    <row r="122" spans="1:74" x14ac:dyDescent="0.2">
      <c r="A122" t="s">
        <v>7034</v>
      </c>
      <c r="B122" t="s">
        <v>7048</v>
      </c>
      <c r="C122" t="s">
        <v>6507</v>
      </c>
      <c r="D122" t="s">
        <v>477</v>
      </c>
      <c r="E122">
        <v>2024</v>
      </c>
      <c r="F122" t="s">
        <v>6508</v>
      </c>
      <c r="G122" s="6" t="s">
        <v>6509</v>
      </c>
      <c r="H122" t="s">
        <v>6510</v>
      </c>
      <c r="I122" t="s">
        <v>6511</v>
      </c>
      <c r="K122" t="s">
        <v>6512</v>
      </c>
      <c r="L122" t="s">
        <v>6513</v>
      </c>
      <c r="N122" s="2">
        <v>45631</v>
      </c>
      <c r="O122" s="1">
        <v>45783.313703703701</v>
      </c>
      <c r="P122" s="1">
        <v>45783.313703703701</v>
      </c>
      <c r="Q122" s="1">
        <v>45783.313703703701</v>
      </c>
      <c r="R122" s="3">
        <v>45870</v>
      </c>
      <c r="X122" t="s">
        <v>6514</v>
      </c>
      <c r="AC122" t="s">
        <v>5107</v>
      </c>
      <c r="AD122" t="s">
        <v>6164</v>
      </c>
      <c r="AF122" t="s">
        <v>5109</v>
      </c>
      <c r="AJ122" t="s">
        <v>98</v>
      </c>
      <c r="BV122" t="s">
        <v>6510</v>
      </c>
    </row>
    <row r="123" spans="1:74" x14ac:dyDescent="0.2">
      <c r="A123" t="s">
        <v>6684</v>
      </c>
      <c r="B123" t="s">
        <v>7035</v>
      </c>
      <c r="C123" t="s">
        <v>4800</v>
      </c>
      <c r="D123" t="s">
        <v>102</v>
      </c>
      <c r="E123">
        <v>2021</v>
      </c>
      <c r="F123" t="s">
        <v>4801</v>
      </c>
      <c r="G123" s="6" t="s">
        <v>4802</v>
      </c>
      <c r="H123" t="s">
        <v>4727</v>
      </c>
      <c r="J123" t="s">
        <v>4728</v>
      </c>
      <c r="K123" t="s">
        <v>4803</v>
      </c>
      <c r="L123" t="s">
        <v>4804</v>
      </c>
      <c r="M123" t="s">
        <v>4805</v>
      </c>
      <c r="N123" t="s">
        <v>4806</v>
      </c>
      <c r="O123" s="1">
        <v>45783.306377314817</v>
      </c>
      <c r="P123" s="1">
        <v>45783.306377314817</v>
      </c>
      <c r="R123" t="s">
        <v>4807</v>
      </c>
      <c r="T123">
        <v>20</v>
      </c>
      <c r="U123">
        <v>80</v>
      </c>
      <c r="AL123" t="s">
        <v>3412</v>
      </c>
      <c r="AP123" t="s">
        <v>4808</v>
      </c>
    </row>
    <row r="124" spans="1:74" x14ac:dyDescent="0.2">
      <c r="A124" t="s">
        <v>6684</v>
      </c>
      <c r="B124" t="s">
        <v>6657</v>
      </c>
      <c r="C124" t="s">
        <v>817</v>
      </c>
      <c r="D124" t="s">
        <v>102</v>
      </c>
      <c r="E124">
        <v>2024</v>
      </c>
      <c r="F124" t="s">
        <v>818</v>
      </c>
      <c r="G124" s="6" t="s">
        <v>819</v>
      </c>
      <c r="H124" t="s">
        <v>820</v>
      </c>
      <c r="J124" t="s">
        <v>821</v>
      </c>
      <c r="K124" t="s">
        <v>822</v>
      </c>
      <c r="L124" t="s">
        <v>823</v>
      </c>
      <c r="M124" t="s">
        <v>824</v>
      </c>
      <c r="N124">
        <v>2024</v>
      </c>
      <c r="O124" s="1">
        <v>45783.300150462965</v>
      </c>
      <c r="P124" s="1">
        <v>45783.300150462965</v>
      </c>
      <c r="T124">
        <v>15</v>
      </c>
      <c r="U124">
        <v>14</v>
      </c>
      <c r="W124" t="s">
        <v>825</v>
      </c>
      <c r="AE124" t="s">
        <v>645</v>
      </c>
      <c r="AH124" t="s">
        <v>646</v>
      </c>
      <c r="AL124" t="s">
        <v>826</v>
      </c>
      <c r="AP124" t="s">
        <v>827</v>
      </c>
    </row>
    <row r="125" spans="1:74" x14ac:dyDescent="0.2">
      <c r="A125" t="s">
        <v>6684</v>
      </c>
      <c r="B125" t="s">
        <v>6685</v>
      </c>
      <c r="C125" t="s">
        <v>6466</v>
      </c>
      <c r="D125" t="s">
        <v>477</v>
      </c>
      <c r="E125">
        <v>2025</v>
      </c>
      <c r="F125" t="s">
        <v>6467</v>
      </c>
      <c r="G125" s="6" t="s">
        <v>6468</v>
      </c>
      <c r="H125" t="s">
        <v>5272</v>
      </c>
      <c r="I125" t="s">
        <v>5273</v>
      </c>
      <c r="K125" t="s">
        <v>6469</v>
      </c>
      <c r="L125" t="s">
        <v>6470</v>
      </c>
      <c r="N125" s="2">
        <v>45724</v>
      </c>
      <c r="O125" s="1">
        <v>45783.313611111109</v>
      </c>
      <c r="P125" s="1">
        <v>45783.313611111109</v>
      </c>
      <c r="Q125" s="1">
        <v>45783.313611111109</v>
      </c>
      <c r="R125" t="s">
        <v>6471</v>
      </c>
      <c r="X125" t="s">
        <v>6472</v>
      </c>
      <c r="AC125" t="s">
        <v>5107</v>
      </c>
      <c r="AD125" t="s">
        <v>5278</v>
      </c>
      <c r="AF125" t="s">
        <v>5109</v>
      </c>
      <c r="AJ125" t="s">
        <v>98</v>
      </c>
      <c r="BV125" t="s">
        <v>5272</v>
      </c>
    </row>
    <row r="126" spans="1:74" x14ac:dyDescent="0.2">
      <c r="A126" t="s">
        <v>7034</v>
      </c>
      <c r="B126" t="s">
        <v>6666</v>
      </c>
      <c r="C126" t="s">
        <v>1909</v>
      </c>
      <c r="D126" t="s">
        <v>102</v>
      </c>
      <c r="E126">
        <v>2021</v>
      </c>
      <c r="F126" t="s">
        <v>1910</v>
      </c>
      <c r="G126" s="6" t="s">
        <v>1911</v>
      </c>
      <c r="H126" t="s">
        <v>1912</v>
      </c>
      <c r="J126" t="s">
        <v>1913</v>
      </c>
      <c r="L126" t="s">
        <v>1914</v>
      </c>
      <c r="M126" t="s">
        <v>1915</v>
      </c>
      <c r="N126">
        <v>2021</v>
      </c>
      <c r="O126" s="1">
        <v>45783.300162037034</v>
      </c>
      <c r="P126" s="1">
        <v>45783.300162037034</v>
      </c>
      <c r="R126" s="4">
        <v>42370</v>
      </c>
      <c r="T126">
        <v>2</v>
      </c>
      <c r="U126">
        <v>24</v>
      </c>
      <c r="W126" t="s">
        <v>1912</v>
      </c>
      <c r="AE126" t="s">
        <v>645</v>
      </c>
      <c r="AH126" t="s">
        <v>646</v>
      </c>
      <c r="AL126" t="s">
        <v>1916</v>
      </c>
      <c r="AP126" t="s">
        <v>1917</v>
      </c>
    </row>
    <row r="127" spans="1:74" x14ac:dyDescent="0.2">
      <c r="A127" t="s">
        <v>6684</v>
      </c>
      <c r="B127" t="s">
        <v>7035</v>
      </c>
      <c r="C127" t="s">
        <v>4354</v>
      </c>
      <c r="D127" t="s">
        <v>102</v>
      </c>
      <c r="E127">
        <v>2019</v>
      </c>
      <c r="F127" t="s">
        <v>4355</v>
      </c>
      <c r="G127" s="6" t="s">
        <v>4356</v>
      </c>
      <c r="H127" t="s">
        <v>4357</v>
      </c>
      <c r="K127" t="s">
        <v>4358</v>
      </c>
      <c r="L127" t="s">
        <v>4359</v>
      </c>
      <c r="M127" t="s">
        <v>4360</v>
      </c>
      <c r="N127" t="s">
        <v>4361</v>
      </c>
      <c r="O127" s="1">
        <v>45783.306377314817</v>
      </c>
      <c r="P127" s="1">
        <v>45783.306377314817</v>
      </c>
      <c r="R127" t="s">
        <v>4362</v>
      </c>
      <c r="T127">
        <v>1</v>
      </c>
      <c r="U127">
        <v>56</v>
      </c>
      <c r="AL127" t="s">
        <v>4363</v>
      </c>
      <c r="AP127" t="s">
        <v>4364</v>
      </c>
    </row>
    <row r="128" spans="1:74" x14ac:dyDescent="0.2">
      <c r="A128" t="s">
        <v>6684</v>
      </c>
      <c r="B128" t="s">
        <v>7035</v>
      </c>
      <c r="C128" t="s">
        <v>2208</v>
      </c>
      <c r="D128" t="s">
        <v>102</v>
      </c>
      <c r="E128">
        <v>2019</v>
      </c>
      <c r="F128" t="s">
        <v>2209</v>
      </c>
      <c r="G128" s="6" t="s">
        <v>2210</v>
      </c>
      <c r="H128" t="s">
        <v>1476</v>
      </c>
      <c r="J128" t="s">
        <v>1477</v>
      </c>
      <c r="K128" t="s">
        <v>2211</v>
      </c>
      <c r="L128" t="s">
        <v>2212</v>
      </c>
      <c r="M128" t="s">
        <v>2213</v>
      </c>
      <c r="N128">
        <v>2019</v>
      </c>
      <c r="O128" s="1">
        <v>45783.300162037034</v>
      </c>
      <c r="P128" s="1">
        <v>45783.300162037034</v>
      </c>
      <c r="R128" t="s">
        <v>2214</v>
      </c>
      <c r="T128">
        <v>1</v>
      </c>
      <c r="U128">
        <v>32</v>
      </c>
      <c r="W128" t="s">
        <v>1482</v>
      </c>
      <c r="AE128" t="s">
        <v>645</v>
      </c>
      <c r="AH128" t="s">
        <v>646</v>
      </c>
      <c r="AL128" t="s">
        <v>2215</v>
      </c>
      <c r="AP128" t="s">
        <v>2216</v>
      </c>
    </row>
    <row r="129" spans="1:74" x14ac:dyDescent="0.2">
      <c r="A129" t="s">
        <v>6684</v>
      </c>
      <c r="B129" t="s">
        <v>7035</v>
      </c>
      <c r="C129" t="s">
        <v>233</v>
      </c>
      <c r="D129" t="s">
        <v>102</v>
      </c>
      <c r="E129">
        <v>2022</v>
      </c>
      <c r="F129" t="s">
        <v>234</v>
      </c>
      <c r="G129" s="6" t="s">
        <v>235</v>
      </c>
      <c r="H129" t="s">
        <v>236</v>
      </c>
      <c r="J129" t="s">
        <v>237</v>
      </c>
      <c r="K129" t="s">
        <v>238</v>
      </c>
      <c r="L129" t="s">
        <v>239</v>
      </c>
      <c r="M129" t="s">
        <v>240</v>
      </c>
      <c r="N129" t="s">
        <v>241</v>
      </c>
      <c r="O129" s="1">
        <v>45783.293136574073</v>
      </c>
      <c r="P129" s="1">
        <v>45783.293136574073</v>
      </c>
      <c r="Q129" s="1">
        <v>45783.293136574073</v>
      </c>
      <c r="R129">
        <v>6</v>
      </c>
      <c r="T129">
        <v>1</v>
      </c>
      <c r="U129">
        <v>9</v>
      </c>
      <c r="W129" t="s">
        <v>242</v>
      </c>
      <c r="AE129" t="s">
        <v>97</v>
      </c>
      <c r="AJ129" t="s">
        <v>98</v>
      </c>
      <c r="AN129" t="s">
        <v>243</v>
      </c>
    </row>
    <row r="130" spans="1:74" x14ac:dyDescent="0.2">
      <c r="A130" t="s">
        <v>6684</v>
      </c>
      <c r="B130" t="s">
        <v>7035</v>
      </c>
      <c r="C130" t="s">
        <v>5723</v>
      </c>
      <c r="D130" t="s">
        <v>477</v>
      </c>
      <c r="E130">
        <v>2021</v>
      </c>
      <c r="F130" t="s">
        <v>5724</v>
      </c>
      <c r="G130" s="6" t="s">
        <v>5725</v>
      </c>
      <c r="H130" t="s">
        <v>5726</v>
      </c>
      <c r="I130" t="s">
        <v>5727</v>
      </c>
      <c r="K130" t="s">
        <v>5728</v>
      </c>
      <c r="L130" t="s">
        <v>5729</v>
      </c>
      <c r="N130" s="2">
        <v>44526</v>
      </c>
      <c r="O130" s="1">
        <v>45783.311851851853</v>
      </c>
      <c r="P130" s="1">
        <v>45783.311851851853</v>
      </c>
      <c r="Q130" s="1">
        <v>45783.311851851853</v>
      </c>
      <c r="R130" t="s">
        <v>5730</v>
      </c>
      <c r="AC130" t="s">
        <v>5107</v>
      </c>
      <c r="AD130" t="s">
        <v>5731</v>
      </c>
      <c r="AF130" t="s">
        <v>5109</v>
      </c>
      <c r="AJ130" t="s">
        <v>98</v>
      </c>
      <c r="BV130" t="s">
        <v>5726</v>
      </c>
    </row>
    <row r="131" spans="1:74" x14ac:dyDescent="0.2">
      <c r="A131" t="s">
        <v>6684</v>
      </c>
      <c r="B131" t="s">
        <v>7035</v>
      </c>
      <c r="C131" t="s">
        <v>4326</v>
      </c>
      <c r="D131" t="s">
        <v>477</v>
      </c>
      <c r="E131">
        <v>2022</v>
      </c>
      <c r="F131" t="s">
        <v>4327</v>
      </c>
      <c r="G131" s="6" t="s">
        <v>4328</v>
      </c>
      <c r="H131" t="s">
        <v>4329</v>
      </c>
      <c r="I131" t="s">
        <v>4330</v>
      </c>
      <c r="K131" t="s">
        <v>4331</v>
      </c>
      <c r="L131" t="s">
        <v>4332</v>
      </c>
      <c r="M131" t="s">
        <v>4333</v>
      </c>
      <c r="N131">
        <v>2022</v>
      </c>
      <c r="O131" s="1">
        <v>45783.306377314817</v>
      </c>
      <c r="P131" s="1">
        <v>45783.306377314817</v>
      </c>
      <c r="Y131" t="s">
        <v>4334</v>
      </c>
      <c r="AC131" t="s">
        <v>1167</v>
      </c>
      <c r="AD131" t="s">
        <v>3218</v>
      </c>
      <c r="AL131" t="s">
        <v>4335</v>
      </c>
      <c r="AP131" t="s">
        <v>4336</v>
      </c>
    </row>
    <row r="132" spans="1:74" x14ac:dyDescent="0.2">
      <c r="A132" t="s">
        <v>7034</v>
      </c>
      <c r="B132" t="s">
        <v>6652</v>
      </c>
      <c r="C132" t="s">
        <v>906</v>
      </c>
      <c r="D132" t="s">
        <v>102</v>
      </c>
      <c r="E132">
        <v>2025</v>
      </c>
      <c r="F132" t="s">
        <v>907</v>
      </c>
      <c r="G132" s="6" t="s">
        <v>908</v>
      </c>
      <c r="H132" t="s">
        <v>909</v>
      </c>
      <c r="J132" t="s">
        <v>910</v>
      </c>
      <c r="K132" t="s">
        <v>911</v>
      </c>
      <c r="L132" t="s">
        <v>912</v>
      </c>
      <c r="M132" t="s">
        <v>913</v>
      </c>
      <c r="N132">
        <v>2025</v>
      </c>
      <c r="O132" s="1">
        <v>45783.300150462965</v>
      </c>
      <c r="P132" s="1">
        <v>45783.300150462965</v>
      </c>
      <c r="T132">
        <v>2</v>
      </c>
      <c r="U132">
        <v>25</v>
      </c>
      <c r="W132" t="s">
        <v>909</v>
      </c>
      <c r="AE132" t="s">
        <v>645</v>
      </c>
      <c r="AH132" t="s">
        <v>646</v>
      </c>
      <c r="AL132" t="s">
        <v>826</v>
      </c>
      <c r="AP132" t="s">
        <v>914</v>
      </c>
    </row>
    <row r="133" spans="1:74" x14ac:dyDescent="0.2">
      <c r="A133" t="s">
        <v>6684</v>
      </c>
      <c r="B133" t="s">
        <v>6685</v>
      </c>
      <c r="C133" t="s">
        <v>4306</v>
      </c>
      <c r="D133" t="s">
        <v>477</v>
      </c>
      <c r="E133">
        <v>2022</v>
      </c>
      <c r="F133" t="s">
        <v>4307</v>
      </c>
      <c r="G133" s="6" t="s">
        <v>4308</v>
      </c>
      <c r="H133" t="s">
        <v>3485</v>
      </c>
      <c r="I133" t="s">
        <v>3486</v>
      </c>
      <c r="K133" t="s">
        <v>4309</v>
      </c>
      <c r="L133" t="s">
        <v>4310</v>
      </c>
      <c r="M133" t="s">
        <v>4311</v>
      </c>
      <c r="N133">
        <v>2022</v>
      </c>
      <c r="O133" s="1">
        <v>45783.306377314817</v>
      </c>
      <c r="P133" s="1">
        <v>45783.306377314817</v>
      </c>
      <c r="R133" t="s">
        <v>4312</v>
      </c>
      <c r="AC133" t="s">
        <v>3194</v>
      </c>
      <c r="AD133" t="s">
        <v>589</v>
      </c>
      <c r="AP133" t="s">
        <v>4313</v>
      </c>
    </row>
    <row r="134" spans="1:74" x14ac:dyDescent="0.2">
      <c r="A134" t="s">
        <v>6684</v>
      </c>
      <c r="B134" t="s">
        <v>7035</v>
      </c>
      <c r="C134" t="s">
        <v>4425</v>
      </c>
      <c r="D134" t="s">
        <v>477</v>
      </c>
      <c r="E134">
        <v>2022</v>
      </c>
      <c r="F134" t="s">
        <v>4426</v>
      </c>
      <c r="G134" s="6" t="s">
        <v>4427</v>
      </c>
      <c r="H134" t="s">
        <v>4428</v>
      </c>
      <c r="I134" t="s">
        <v>4429</v>
      </c>
      <c r="K134" t="s">
        <v>4430</v>
      </c>
      <c r="L134" t="s">
        <v>4431</v>
      </c>
      <c r="M134" t="s">
        <v>4432</v>
      </c>
      <c r="N134">
        <v>2022</v>
      </c>
      <c r="O134" s="1">
        <v>45783.306377314817</v>
      </c>
      <c r="P134" s="1">
        <v>45783.306377314817</v>
      </c>
      <c r="R134" t="s">
        <v>4433</v>
      </c>
      <c r="AC134" t="s">
        <v>3194</v>
      </c>
      <c r="AD134" t="s">
        <v>589</v>
      </c>
      <c r="AP134" t="s">
        <v>4434</v>
      </c>
    </row>
    <row r="135" spans="1:74" x14ac:dyDescent="0.2">
      <c r="A135" t="s">
        <v>6684</v>
      </c>
      <c r="B135" t="s">
        <v>6657</v>
      </c>
      <c r="C135" t="s">
        <v>1473</v>
      </c>
      <c r="D135" t="s">
        <v>102</v>
      </c>
      <c r="E135">
        <v>2022</v>
      </c>
      <c r="F135" t="s">
        <v>1474</v>
      </c>
      <c r="G135" s="6" t="s">
        <v>1475</v>
      </c>
      <c r="H135" t="s">
        <v>1476</v>
      </c>
      <c r="J135" t="s">
        <v>1477</v>
      </c>
      <c r="K135" t="s">
        <v>1478</v>
      </c>
      <c r="L135" t="s">
        <v>1479</v>
      </c>
      <c r="M135" t="s">
        <v>1480</v>
      </c>
      <c r="N135">
        <v>2022</v>
      </c>
      <c r="O135" s="1">
        <v>45783.300150462965</v>
      </c>
      <c r="P135" s="1">
        <v>45783.300150462965</v>
      </c>
      <c r="R135" t="s">
        <v>1481</v>
      </c>
      <c r="T135">
        <v>2</v>
      </c>
      <c r="U135">
        <v>35</v>
      </c>
      <c r="W135" t="s">
        <v>1482</v>
      </c>
      <c r="AE135" t="s">
        <v>645</v>
      </c>
      <c r="AH135" t="s">
        <v>646</v>
      </c>
      <c r="AL135" t="s">
        <v>1483</v>
      </c>
      <c r="AP135" t="s">
        <v>1484</v>
      </c>
    </row>
    <row r="136" spans="1:74" x14ac:dyDescent="0.2">
      <c r="A136" t="s">
        <v>6684</v>
      </c>
      <c r="B136" t="s">
        <v>7035</v>
      </c>
      <c r="C136" t="s">
        <v>489</v>
      </c>
      <c r="D136" t="s">
        <v>88</v>
      </c>
      <c r="E136">
        <v>2019</v>
      </c>
      <c r="F136" t="s">
        <v>490</v>
      </c>
      <c r="G136" s="6" t="s">
        <v>491</v>
      </c>
      <c r="H136" t="s">
        <v>492</v>
      </c>
      <c r="I136" t="s">
        <v>493</v>
      </c>
      <c r="L136" t="s">
        <v>494</v>
      </c>
      <c r="N136">
        <v>2019</v>
      </c>
      <c r="O136" s="1">
        <v>45783.293611111112</v>
      </c>
      <c r="P136" s="1">
        <v>45783.293611111112</v>
      </c>
      <c r="Q136" s="1">
        <v>45783.293611111112</v>
      </c>
      <c r="R136" t="s">
        <v>495</v>
      </c>
      <c r="AC136" t="s">
        <v>262</v>
      </c>
      <c r="AD136" t="s">
        <v>96</v>
      </c>
      <c r="AE136" t="s">
        <v>97</v>
      </c>
      <c r="AJ136" t="s">
        <v>98</v>
      </c>
      <c r="AL136" t="s">
        <v>496</v>
      </c>
      <c r="AR136" t="s">
        <v>497</v>
      </c>
    </row>
    <row r="137" spans="1:74" x14ac:dyDescent="0.2">
      <c r="A137" t="s">
        <v>6684</v>
      </c>
      <c r="B137" t="s">
        <v>6657</v>
      </c>
      <c r="C137" t="s">
        <v>1752</v>
      </c>
      <c r="D137" t="s">
        <v>102</v>
      </c>
      <c r="E137">
        <v>2022</v>
      </c>
      <c r="F137" t="s">
        <v>1753</v>
      </c>
      <c r="G137" s="6" t="s">
        <v>1754</v>
      </c>
      <c r="H137" t="s">
        <v>820</v>
      </c>
      <c r="J137" t="s">
        <v>821</v>
      </c>
      <c r="K137" t="s">
        <v>1755</v>
      </c>
      <c r="L137" t="s">
        <v>1756</v>
      </c>
      <c r="M137" t="s">
        <v>1757</v>
      </c>
      <c r="N137">
        <v>2022</v>
      </c>
      <c r="O137" s="1">
        <v>45783.300162037034</v>
      </c>
      <c r="P137" s="1">
        <v>45783.300162037034</v>
      </c>
      <c r="T137">
        <v>20</v>
      </c>
      <c r="U137">
        <v>12</v>
      </c>
      <c r="W137" t="s">
        <v>825</v>
      </c>
      <c r="AE137" t="s">
        <v>645</v>
      </c>
      <c r="AH137" t="s">
        <v>646</v>
      </c>
      <c r="AL137" t="s">
        <v>1524</v>
      </c>
      <c r="AP137" t="s">
        <v>1758</v>
      </c>
    </row>
    <row r="138" spans="1:74" x14ac:dyDescent="0.2">
      <c r="A138" t="s">
        <v>6684</v>
      </c>
      <c r="B138" t="s">
        <v>7042</v>
      </c>
      <c r="C138" t="s">
        <v>4378</v>
      </c>
      <c r="D138" t="s">
        <v>477</v>
      </c>
      <c r="E138">
        <v>2001</v>
      </c>
      <c r="F138" t="s">
        <v>4379</v>
      </c>
      <c r="G138" s="6" t="s">
        <v>4380</v>
      </c>
      <c r="H138" t="s">
        <v>4381</v>
      </c>
      <c r="I138" t="s">
        <v>4382</v>
      </c>
      <c r="N138">
        <v>2001</v>
      </c>
      <c r="O138" s="1">
        <v>45783.306377314817</v>
      </c>
      <c r="P138" s="1">
        <v>45783.306377314817</v>
      </c>
      <c r="R138">
        <v>310</v>
      </c>
      <c r="Y138" t="s">
        <v>4383</v>
      </c>
      <c r="AC138" t="s">
        <v>1895</v>
      </c>
      <c r="AD138" t="s">
        <v>3867</v>
      </c>
    </row>
    <row r="139" spans="1:74" x14ac:dyDescent="0.2">
      <c r="A139" t="s">
        <v>7034</v>
      </c>
      <c r="B139" t="s">
        <v>7048</v>
      </c>
      <c r="C139" t="s">
        <v>5659</v>
      </c>
      <c r="D139" t="s">
        <v>477</v>
      </c>
      <c r="E139">
        <v>2023</v>
      </c>
      <c r="F139" t="s">
        <v>5660</v>
      </c>
      <c r="G139" s="6" t="s">
        <v>5661</v>
      </c>
      <c r="H139" t="s">
        <v>5662</v>
      </c>
      <c r="I139" t="s">
        <v>5663</v>
      </c>
      <c r="K139" t="s">
        <v>5664</v>
      </c>
      <c r="L139" t="s">
        <v>5665</v>
      </c>
      <c r="N139" s="2">
        <v>45215</v>
      </c>
      <c r="O139" s="1">
        <v>45783.311724537038</v>
      </c>
      <c r="P139" s="1">
        <v>45783.311724537038</v>
      </c>
      <c r="Q139" s="1">
        <v>45783.311724537038</v>
      </c>
      <c r="R139" t="s">
        <v>5666</v>
      </c>
      <c r="AC139" t="s">
        <v>5107</v>
      </c>
      <c r="AD139" t="s">
        <v>5466</v>
      </c>
      <c r="AF139" t="s">
        <v>5109</v>
      </c>
      <c r="AJ139" t="s">
        <v>98</v>
      </c>
      <c r="BV139" t="s">
        <v>5662</v>
      </c>
    </row>
    <row r="140" spans="1:74" x14ac:dyDescent="0.2">
      <c r="A140" t="s">
        <v>6684</v>
      </c>
      <c r="B140" t="s">
        <v>7055</v>
      </c>
      <c r="C140" t="s">
        <v>3138</v>
      </c>
      <c r="D140" t="s">
        <v>102</v>
      </c>
      <c r="E140">
        <v>2001</v>
      </c>
      <c r="F140" t="s">
        <v>3139</v>
      </c>
      <c r="G140" s="6" t="s">
        <v>3140</v>
      </c>
      <c r="H140" t="s">
        <v>3141</v>
      </c>
      <c r="J140" t="s">
        <v>3142</v>
      </c>
      <c r="K140" t="s">
        <v>3143</v>
      </c>
      <c r="L140" t="s">
        <v>3144</v>
      </c>
      <c r="M140" t="s">
        <v>3145</v>
      </c>
      <c r="N140">
        <v>2001</v>
      </c>
      <c r="O140" s="1">
        <v>45783.300173611111</v>
      </c>
      <c r="P140" s="1">
        <v>45783.300173611111</v>
      </c>
      <c r="R140" t="s">
        <v>3146</v>
      </c>
      <c r="T140">
        <v>1</v>
      </c>
      <c r="U140">
        <v>49</v>
      </c>
      <c r="W140" t="s">
        <v>3141</v>
      </c>
      <c r="X140" t="s">
        <v>3147</v>
      </c>
      <c r="AE140" t="s">
        <v>3148</v>
      </c>
      <c r="AH140" t="s">
        <v>646</v>
      </c>
    </row>
    <row r="141" spans="1:74" x14ac:dyDescent="0.2">
      <c r="A141" t="s">
        <v>7034</v>
      </c>
      <c r="B141" t="s">
        <v>7047</v>
      </c>
      <c r="C141" t="s">
        <v>568</v>
      </c>
      <c r="D141" t="s">
        <v>88</v>
      </c>
      <c r="E141">
        <v>2013</v>
      </c>
      <c r="F141" t="s">
        <v>569</v>
      </c>
      <c r="G141" s="6" t="s">
        <v>570</v>
      </c>
      <c r="H141" t="s">
        <v>571</v>
      </c>
      <c r="I141" t="s">
        <v>572</v>
      </c>
      <c r="L141" t="s">
        <v>573</v>
      </c>
      <c r="N141">
        <v>2013</v>
      </c>
      <c r="O141" s="1">
        <v>45783.293738425928</v>
      </c>
      <c r="P141" s="1">
        <v>45783.293738425928</v>
      </c>
      <c r="Q141" s="1">
        <v>45783.293738425928</v>
      </c>
      <c r="R141" t="s">
        <v>574</v>
      </c>
      <c r="AC141" t="s">
        <v>575</v>
      </c>
      <c r="AD141" t="s">
        <v>576</v>
      </c>
      <c r="AE141" t="s">
        <v>97</v>
      </c>
      <c r="AJ141" t="s">
        <v>98</v>
      </c>
      <c r="AL141" t="s">
        <v>577</v>
      </c>
      <c r="AR141" t="s">
        <v>578</v>
      </c>
    </row>
    <row r="142" spans="1:74" x14ac:dyDescent="0.2">
      <c r="A142" t="s">
        <v>6684</v>
      </c>
      <c r="B142" t="s">
        <v>7035</v>
      </c>
      <c r="C142" t="s">
        <v>5538</v>
      </c>
      <c r="D142" t="s">
        <v>477</v>
      </c>
      <c r="E142">
        <v>2022</v>
      </c>
      <c r="F142" t="s">
        <v>5539</v>
      </c>
      <c r="G142" s="6" t="s">
        <v>5540</v>
      </c>
      <c r="H142" t="s">
        <v>5541</v>
      </c>
      <c r="I142" t="s">
        <v>5542</v>
      </c>
      <c r="K142" t="s">
        <v>5543</v>
      </c>
      <c r="L142" t="s">
        <v>5544</v>
      </c>
      <c r="N142" t="s">
        <v>5455</v>
      </c>
      <c r="O142" s="1">
        <v>45783.311550925922</v>
      </c>
      <c r="P142" s="1">
        <v>45783.311550925922</v>
      </c>
      <c r="Q142" s="1">
        <v>45783.311550925922</v>
      </c>
      <c r="R142" t="s">
        <v>5545</v>
      </c>
      <c r="AC142" t="s">
        <v>5107</v>
      </c>
      <c r="AD142" t="s">
        <v>5546</v>
      </c>
      <c r="AF142" t="s">
        <v>5109</v>
      </c>
      <c r="AJ142" t="s">
        <v>98</v>
      </c>
      <c r="BV142" t="s">
        <v>5541</v>
      </c>
    </row>
    <row r="143" spans="1:74" x14ac:dyDescent="0.2">
      <c r="A143" t="s">
        <v>6684</v>
      </c>
      <c r="B143" t="s">
        <v>7044</v>
      </c>
      <c r="C143" t="s">
        <v>5153</v>
      </c>
      <c r="D143" t="s">
        <v>477</v>
      </c>
      <c r="E143">
        <v>2019</v>
      </c>
      <c r="F143" t="s">
        <v>5154</v>
      </c>
      <c r="G143" s="6" t="s">
        <v>5155</v>
      </c>
      <c r="H143" t="s">
        <v>5156</v>
      </c>
      <c r="I143" t="s">
        <v>5157</v>
      </c>
      <c r="K143" t="s">
        <v>5158</v>
      </c>
      <c r="L143" t="s">
        <v>5159</v>
      </c>
      <c r="N143" t="s">
        <v>4361</v>
      </c>
      <c r="O143" s="1">
        <v>45783.311145833337</v>
      </c>
      <c r="P143" s="1">
        <v>45783.311145833337</v>
      </c>
      <c r="Q143" s="1">
        <v>45783.311145833337</v>
      </c>
      <c r="R143" t="s">
        <v>5160</v>
      </c>
      <c r="AC143" t="s">
        <v>5107</v>
      </c>
      <c r="AD143" t="s">
        <v>5161</v>
      </c>
      <c r="AF143" t="s">
        <v>5109</v>
      </c>
      <c r="AJ143" t="s">
        <v>98</v>
      </c>
      <c r="BV143" t="s">
        <v>5156</v>
      </c>
    </row>
    <row r="144" spans="1:74" x14ac:dyDescent="0.2">
      <c r="A144" t="s">
        <v>6684</v>
      </c>
      <c r="B144" t="s">
        <v>6657</v>
      </c>
      <c r="C144" t="s">
        <v>1363</v>
      </c>
      <c r="D144" t="s">
        <v>102</v>
      </c>
      <c r="E144">
        <v>2024</v>
      </c>
      <c r="F144" t="s">
        <v>1364</v>
      </c>
      <c r="G144" s="6" t="s">
        <v>1365</v>
      </c>
      <c r="H144" t="s">
        <v>1366</v>
      </c>
      <c r="J144" t="s">
        <v>1367</v>
      </c>
      <c r="K144" t="s">
        <v>1368</v>
      </c>
      <c r="L144" t="s">
        <v>1369</v>
      </c>
      <c r="M144" t="s">
        <v>1370</v>
      </c>
      <c r="N144">
        <v>2024</v>
      </c>
      <c r="O144" s="1">
        <v>45783.300150462965</v>
      </c>
      <c r="P144" s="1">
        <v>45783.300150462965</v>
      </c>
      <c r="T144">
        <v>5</v>
      </c>
      <c r="U144">
        <v>14</v>
      </c>
      <c r="W144" t="s">
        <v>1371</v>
      </c>
      <c r="AE144" t="s">
        <v>645</v>
      </c>
      <c r="AH144" t="s">
        <v>646</v>
      </c>
      <c r="AL144" t="s">
        <v>826</v>
      </c>
      <c r="AP144" t="s">
        <v>1372</v>
      </c>
    </row>
    <row r="145" spans="1:74" x14ac:dyDescent="0.2">
      <c r="A145" t="s">
        <v>6684</v>
      </c>
      <c r="B145" t="s">
        <v>7035</v>
      </c>
      <c r="C145" t="s">
        <v>3328</v>
      </c>
      <c r="D145" t="s">
        <v>477</v>
      </c>
      <c r="E145">
        <v>2023</v>
      </c>
      <c r="F145" t="s">
        <v>3329</v>
      </c>
      <c r="G145" s="6" t="s">
        <v>3330</v>
      </c>
      <c r="H145" t="s">
        <v>3331</v>
      </c>
      <c r="I145" t="s">
        <v>3332</v>
      </c>
      <c r="K145" t="s">
        <v>3333</v>
      </c>
      <c r="L145" t="s">
        <v>3334</v>
      </c>
      <c r="M145" t="s">
        <v>3335</v>
      </c>
      <c r="N145">
        <v>2023</v>
      </c>
      <c r="O145" s="1">
        <v>45783.30636574074</v>
      </c>
      <c r="P145" s="1">
        <v>45783.30636574074</v>
      </c>
      <c r="R145" t="s">
        <v>3336</v>
      </c>
      <c r="Y145" t="s">
        <v>3337</v>
      </c>
      <c r="AC145" t="s">
        <v>1167</v>
      </c>
      <c r="AD145" t="s">
        <v>3218</v>
      </c>
      <c r="AL145" t="s">
        <v>3338</v>
      </c>
      <c r="AP145" t="s">
        <v>3339</v>
      </c>
    </row>
    <row r="146" spans="1:74" x14ac:dyDescent="0.2">
      <c r="A146" t="s">
        <v>6684</v>
      </c>
      <c r="B146" t="s">
        <v>7035</v>
      </c>
      <c r="C146" t="s">
        <v>4776</v>
      </c>
      <c r="D146" t="s">
        <v>477</v>
      </c>
      <c r="E146">
        <v>2017</v>
      </c>
      <c r="F146" t="s">
        <v>4777</v>
      </c>
      <c r="G146" s="6" t="s">
        <v>4778</v>
      </c>
      <c r="H146" t="s">
        <v>4779</v>
      </c>
      <c r="I146" t="s">
        <v>4780</v>
      </c>
      <c r="K146" t="s">
        <v>4781</v>
      </c>
      <c r="L146" t="s">
        <v>4782</v>
      </c>
      <c r="M146" t="s">
        <v>4783</v>
      </c>
      <c r="N146">
        <v>2017</v>
      </c>
      <c r="O146" s="1">
        <v>45783.306377314817</v>
      </c>
      <c r="P146" s="1">
        <v>45783.471412037034</v>
      </c>
      <c r="R146" t="s">
        <v>4784</v>
      </c>
      <c r="Y146" t="s">
        <v>4785</v>
      </c>
      <c r="AC146" t="s">
        <v>1167</v>
      </c>
      <c r="AD146" t="s">
        <v>3218</v>
      </c>
      <c r="AL146" t="s">
        <v>4786</v>
      </c>
      <c r="AP146" t="s">
        <v>4787</v>
      </c>
    </row>
    <row r="147" spans="1:74" x14ac:dyDescent="0.2">
      <c r="A147" t="s">
        <v>6684</v>
      </c>
      <c r="B147" t="s">
        <v>7035</v>
      </c>
      <c r="C147" t="s">
        <v>6187</v>
      </c>
      <c r="D147" t="s">
        <v>477</v>
      </c>
      <c r="E147">
        <v>2015</v>
      </c>
      <c r="F147" t="s">
        <v>6188</v>
      </c>
      <c r="G147" s="6" t="s">
        <v>6189</v>
      </c>
      <c r="H147" t="s">
        <v>6190</v>
      </c>
      <c r="I147" t="s">
        <v>6191</v>
      </c>
      <c r="K147" t="s">
        <v>6192</v>
      </c>
      <c r="L147" t="s">
        <v>6193</v>
      </c>
      <c r="N147" t="s">
        <v>6194</v>
      </c>
      <c r="O147" s="1">
        <v>45783.31287037037</v>
      </c>
      <c r="P147" s="1">
        <v>45783.31287037037</v>
      </c>
      <c r="Q147" s="1">
        <v>45783.31287037037</v>
      </c>
      <c r="R147" s="3">
        <v>45809</v>
      </c>
      <c r="X147" t="s">
        <v>6195</v>
      </c>
      <c r="AC147" t="s">
        <v>5107</v>
      </c>
      <c r="AD147" t="s">
        <v>6196</v>
      </c>
      <c r="AJ147" t="s">
        <v>98</v>
      </c>
      <c r="BV147" t="s">
        <v>6190</v>
      </c>
    </row>
    <row r="148" spans="1:74" x14ac:dyDescent="0.2">
      <c r="A148" t="s">
        <v>6684</v>
      </c>
      <c r="B148" t="s">
        <v>6657</v>
      </c>
      <c r="C148" t="s">
        <v>2309</v>
      </c>
      <c r="D148" t="s">
        <v>477</v>
      </c>
      <c r="E148">
        <v>2009</v>
      </c>
      <c r="F148" t="s">
        <v>2310</v>
      </c>
      <c r="G148" s="6" t="s">
        <v>2311</v>
      </c>
      <c r="H148" t="s">
        <v>2312</v>
      </c>
      <c r="I148" t="s">
        <v>2313</v>
      </c>
      <c r="K148" t="s">
        <v>2314</v>
      </c>
      <c r="L148" t="s">
        <v>2315</v>
      </c>
      <c r="M148" t="s">
        <v>2316</v>
      </c>
      <c r="N148">
        <v>2009</v>
      </c>
      <c r="O148" s="1">
        <v>45783.300162037034</v>
      </c>
      <c r="P148" s="1">
        <v>45783.300162037034</v>
      </c>
      <c r="R148" t="s">
        <v>2317</v>
      </c>
      <c r="U148">
        <v>56</v>
      </c>
      <c r="AC148" t="s">
        <v>2318</v>
      </c>
      <c r="AE148" t="s">
        <v>645</v>
      </c>
      <c r="AH148" t="s">
        <v>646</v>
      </c>
      <c r="AL148" t="s">
        <v>2319</v>
      </c>
      <c r="AP148" t="s">
        <v>2320</v>
      </c>
      <c r="BV148" t="s">
        <v>2321</v>
      </c>
    </row>
    <row r="149" spans="1:74" x14ac:dyDescent="0.2">
      <c r="A149" t="s">
        <v>6684</v>
      </c>
      <c r="B149" t="s">
        <v>6653</v>
      </c>
      <c r="C149" t="s">
        <v>1768</v>
      </c>
      <c r="D149" t="s">
        <v>102</v>
      </c>
      <c r="E149">
        <v>2021</v>
      </c>
      <c r="F149" t="s">
        <v>1769</v>
      </c>
      <c r="G149" s="6" t="s">
        <v>1770</v>
      </c>
      <c r="H149" t="s">
        <v>1771</v>
      </c>
      <c r="J149" t="s">
        <v>1772</v>
      </c>
      <c r="K149" t="s">
        <v>1773</v>
      </c>
      <c r="L149" t="s">
        <v>1774</v>
      </c>
      <c r="M149" t="s">
        <v>1775</v>
      </c>
      <c r="N149">
        <v>2021</v>
      </c>
      <c r="O149" s="1">
        <v>45783.300162037034</v>
      </c>
      <c r="P149" s="1">
        <v>45783.300162037034</v>
      </c>
      <c r="R149" t="s">
        <v>1776</v>
      </c>
      <c r="T149">
        <v>2</v>
      </c>
      <c r="U149">
        <v>55</v>
      </c>
      <c r="W149" t="s">
        <v>1777</v>
      </c>
      <c r="AE149" t="s">
        <v>645</v>
      </c>
      <c r="AH149" t="s">
        <v>646</v>
      </c>
      <c r="AL149" t="s">
        <v>1778</v>
      </c>
      <c r="AP149" t="s">
        <v>1779</v>
      </c>
    </row>
    <row r="150" spans="1:74" x14ac:dyDescent="0.2">
      <c r="A150" t="s">
        <v>6684</v>
      </c>
      <c r="B150" t="s">
        <v>7035</v>
      </c>
      <c r="C150" t="s">
        <v>2045</v>
      </c>
      <c r="D150" t="s">
        <v>477</v>
      </c>
      <c r="E150">
        <v>2021</v>
      </c>
      <c r="F150" t="s">
        <v>2046</v>
      </c>
      <c r="G150" s="6" t="s">
        <v>2047</v>
      </c>
      <c r="H150" t="s">
        <v>2048</v>
      </c>
      <c r="I150" t="s">
        <v>2049</v>
      </c>
      <c r="K150" t="s">
        <v>2050</v>
      </c>
      <c r="L150" t="s">
        <v>2051</v>
      </c>
      <c r="M150" t="s">
        <v>2052</v>
      </c>
      <c r="N150">
        <v>2021</v>
      </c>
      <c r="O150" s="1">
        <v>45783.300162037034</v>
      </c>
      <c r="P150" s="1">
        <v>45783.300162037034</v>
      </c>
      <c r="AC150" t="s">
        <v>801</v>
      </c>
      <c r="AE150" t="s">
        <v>645</v>
      </c>
      <c r="AH150" t="s">
        <v>646</v>
      </c>
      <c r="AL150" t="s">
        <v>2053</v>
      </c>
      <c r="AP150" t="s">
        <v>2054</v>
      </c>
      <c r="AR150" t="s">
        <v>2055</v>
      </c>
      <c r="BV150" t="s">
        <v>2056</v>
      </c>
    </row>
    <row r="151" spans="1:74" x14ac:dyDescent="0.2">
      <c r="A151" t="s">
        <v>6684</v>
      </c>
      <c r="B151" t="s">
        <v>7035</v>
      </c>
      <c r="C151" t="s">
        <v>2122</v>
      </c>
      <c r="D151" t="s">
        <v>102</v>
      </c>
      <c r="E151">
        <v>2022</v>
      </c>
      <c r="F151" t="s">
        <v>2123</v>
      </c>
      <c r="G151" s="6" t="s">
        <v>2124</v>
      </c>
      <c r="H151" t="s">
        <v>1314</v>
      </c>
      <c r="J151" t="s">
        <v>1315</v>
      </c>
      <c r="K151" t="s">
        <v>2125</v>
      </c>
      <c r="L151" t="s">
        <v>2126</v>
      </c>
      <c r="M151" t="s">
        <v>2127</v>
      </c>
      <c r="N151">
        <v>2022</v>
      </c>
      <c r="O151" s="1">
        <v>45783.300162037034</v>
      </c>
      <c r="P151" s="1">
        <v>45783.300162037034</v>
      </c>
      <c r="T151">
        <v>4</v>
      </c>
      <c r="U151">
        <v>11</v>
      </c>
      <c r="W151" t="s">
        <v>1314</v>
      </c>
      <c r="AE151" t="s">
        <v>645</v>
      </c>
      <c r="AH151" t="s">
        <v>646</v>
      </c>
      <c r="AL151" t="s">
        <v>1524</v>
      </c>
      <c r="AP151" t="s">
        <v>2128</v>
      </c>
    </row>
    <row r="152" spans="1:74" x14ac:dyDescent="0.2">
      <c r="A152" t="s">
        <v>6684</v>
      </c>
      <c r="B152" t="s">
        <v>7035</v>
      </c>
      <c r="C152" t="s">
        <v>2470</v>
      </c>
      <c r="D152" t="s">
        <v>102</v>
      </c>
      <c r="E152">
        <v>2010</v>
      </c>
      <c r="F152" t="s">
        <v>2471</v>
      </c>
      <c r="G152" s="6" t="s">
        <v>2472</v>
      </c>
      <c r="H152" t="s">
        <v>133</v>
      </c>
      <c r="J152" t="s">
        <v>2473</v>
      </c>
      <c r="K152" t="s">
        <v>2474</v>
      </c>
      <c r="L152" t="s">
        <v>2475</v>
      </c>
      <c r="M152" t="s">
        <v>2476</v>
      </c>
      <c r="N152">
        <v>2010</v>
      </c>
      <c r="O152" s="1">
        <v>45783.300162037034</v>
      </c>
      <c r="P152" s="1">
        <v>45783.300162037034</v>
      </c>
      <c r="T152">
        <v>1</v>
      </c>
      <c r="U152">
        <v>7</v>
      </c>
      <c r="W152" t="s">
        <v>601</v>
      </c>
      <c r="AE152" t="s">
        <v>645</v>
      </c>
      <c r="AH152" t="s">
        <v>646</v>
      </c>
      <c r="AP152" t="s">
        <v>2477</v>
      </c>
    </row>
    <row r="153" spans="1:74" x14ac:dyDescent="0.2">
      <c r="A153" t="s">
        <v>6684</v>
      </c>
      <c r="B153" t="s">
        <v>7035</v>
      </c>
      <c r="C153" t="s">
        <v>6640</v>
      </c>
      <c r="D153" t="s">
        <v>477</v>
      </c>
      <c r="E153">
        <v>2012</v>
      </c>
      <c r="F153" t="s">
        <v>6641</v>
      </c>
      <c r="G153" s="6" t="s">
        <v>6642</v>
      </c>
      <c r="H153" t="s">
        <v>6643</v>
      </c>
      <c r="L153" t="s">
        <v>6644</v>
      </c>
      <c r="M153" t="s">
        <v>6645</v>
      </c>
      <c r="N153" t="s">
        <v>6646</v>
      </c>
      <c r="O153" s="1">
        <v>45783.334699074076</v>
      </c>
      <c r="P153" s="1">
        <v>45783.334699074076</v>
      </c>
      <c r="Q153" s="1">
        <v>45783.334699074076</v>
      </c>
      <c r="R153" s="3">
        <v>45809</v>
      </c>
      <c r="X153" t="s">
        <v>6647</v>
      </c>
      <c r="AJ153" t="s">
        <v>6648</v>
      </c>
      <c r="AN153" t="s">
        <v>6649</v>
      </c>
      <c r="AQ153" t="s">
        <v>6650</v>
      </c>
      <c r="BV153" t="s">
        <v>6643</v>
      </c>
    </row>
    <row r="154" spans="1:74" x14ac:dyDescent="0.2">
      <c r="A154" t="s">
        <v>7034</v>
      </c>
      <c r="B154" t="s">
        <v>7045</v>
      </c>
      <c r="C154" t="s">
        <v>3583</v>
      </c>
      <c r="D154" t="s">
        <v>477</v>
      </c>
      <c r="E154">
        <v>2020</v>
      </c>
      <c r="F154" t="s">
        <v>3584</v>
      </c>
      <c r="G154" s="6" t="s">
        <v>3585</v>
      </c>
      <c r="H154" t="s">
        <v>3575</v>
      </c>
      <c r="I154" t="s">
        <v>3576</v>
      </c>
      <c r="K154" t="s">
        <v>3586</v>
      </c>
      <c r="L154" t="s">
        <v>3587</v>
      </c>
      <c r="M154" t="s">
        <v>3588</v>
      </c>
      <c r="N154">
        <v>2020</v>
      </c>
      <c r="O154" s="1">
        <v>45783.293587962966</v>
      </c>
      <c r="P154" s="1">
        <v>45784.35083333333</v>
      </c>
      <c r="R154" t="s">
        <v>3589</v>
      </c>
      <c r="U154">
        <v>12242</v>
      </c>
      <c r="AC154" t="s">
        <v>3194</v>
      </c>
      <c r="AD154" t="s">
        <v>589</v>
      </c>
      <c r="AL154" t="s">
        <v>3369</v>
      </c>
      <c r="AP154" t="s">
        <v>3590</v>
      </c>
    </row>
    <row r="155" spans="1:74" x14ac:dyDescent="0.2">
      <c r="A155" t="s">
        <v>6684</v>
      </c>
      <c r="B155" t="s">
        <v>7036</v>
      </c>
      <c r="C155" t="s">
        <v>4830</v>
      </c>
      <c r="D155" t="s">
        <v>477</v>
      </c>
      <c r="E155">
        <v>2013</v>
      </c>
      <c r="F155" t="s">
        <v>4831</v>
      </c>
      <c r="G155" s="6" t="s">
        <v>4832</v>
      </c>
      <c r="H155" t="s">
        <v>4833</v>
      </c>
      <c r="I155" t="s">
        <v>4834</v>
      </c>
      <c r="K155" t="s">
        <v>4835</v>
      </c>
      <c r="L155" t="s">
        <v>4836</v>
      </c>
      <c r="M155" t="s">
        <v>4837</v>
      </c>
      <c r="N155">
        <v>2013</v>
      </c>
      <c r="O155" s="1">
        <v>45783.306377314817</v>
      </c>
      <c r="P155" s="1">
        <v>45783.306377314817</v>
      </c>
      <c r="R155" t="s">
        <v>4838</v>
      </c>
      <c r="Y155" t="s">
        <v>4839</v>
      </c>
      <c r="AC155" t="s">
        <v>1167</v>
      </c>
      <c r="AD155" t="s">
        <v>3218</v>
      </c>
      <c r="AL155" t="s">
        <v>4055</v>
      </c>
      <c r="AP155" t="s">
        <v>4840</v>
      </c>
    </row>
    <row r="156" spans="1:74" x14ac:dyDescent="0.2">
      <c r="A156" t="s">
        <v>6684</v>
      </c>
      <c r="B156" t="s">
        <v>6657</v>
      </c>
      <c r="C156" t="s">
        <v>1669</v>
      </c>
      <c r="D156" t="s">
        <v>102</v>
      </c>
      <c r="E156">
        <v>2020</v>
      </c>
      <c r="F156" t="s">
        <v>1670</v>
      </c>
      <c r="G156" s="6" t="s">
        <v>1671</v>
      </c>
      <c r="H156" t="s">
        <v>1672</v>
      </c>
      <c r="J156" t="s">
        <v>1673</v>
      </c>
      <c r="K156" t="s">
        <v>1674</v>
      </c>
      <c r="L156" t="s">
        <v>1675</v>
      </c>
      <c r="M156" t="s">
        <v>1676</v>
      </c>
      <c r="N156">
        <v>2020</v>
      </c>
      <c r="O156" s="1">
        <v>45783.300150462965</v>
      </c>
      <c r="P156" s="1">
        <v>45783.300150462965</v>
      </c>
      <c r="R156" t="s">
        <v>1677</v>
      </c>
      <c r="T156">
        <v>7</v>
      </c>
      <c r="U156">
        <v>15</v>
      </c>
      <c r="W156" t="s">
        <v>1678</v>
      </c>
      <c r="AE156" t="s">
        <v>645</v>
      </c>
      <c r="AH156" t="s">
        <v>646</v>
      </c>
      <c r="AL156" t="s">
        <v>1156</v>
      </c>
      <c r="AP156" t="s">
        <v>1679</v>
      </c>
    </row>
    <row r="157" spans="1:74" x14ac:dyDescent="0.2">
      <c r="A157" t="s">
        <v>6684</v>
      </c>
      <c r="B157" t="s">
        <v>7044</v>
      </c>
      <c r="C157" t="s">
        <v>4849</v>
      </c>
      <c r="D157" t="s">
        <v>477</v>
      </c>
      <c r="E157">
        <v>2014</v>
      </c>
      <c r="F157" t="s">
        <v>4850</v>
      </c>
      <c r="G157" s="6" t="s">
        <v>4851</v>
      </c>
      <c r="H157" t="s">
        <v>4852</v>
      </c>
      <c r="I157" t="s">
        <v>4853</v>
      </c>
      <c r="K157" t="s">
        <v>4854</v>
      </c>
      <c r="L157" t="s">
        <v>4855</v>
      </c>
      <c r="M157" t="s">
        <v>4856</v>
      </c>
      <c r="N157" t="s">
        <v>4857</v>
      </c>
      <c r="O157" s="1">
        <v>45783.306377314817</v>
      </c>
      <c r="P157" s="1">
        <v>45784.287210648145</v>
      </c>
      <c r="R157" t="s">
        <v>4858</v>
      </c>
      <c r="Y157" t="s">
        <v>4859</v>
      </c>
      <c r="AC157" t="s">
        <v>1895</v>
      </c>
      <c r="AD157" t="s">
        <v>3867</v>
      </c>
      <c r="AP157" t="s">
        <v>4860</v>
      </c>
    </row>
    <row r="158" spans="1:74" x14ac:dyDescent="0.2">
      <c r="A158" t="s">
        <v>6684</v>
      </c>
      <c r="B158" t="s">
        <v>6653</v>
      </c>
      <c r="C158" t="s">
        <v>5258</v>
      </c>
      <c r="D158" t="s">
        <v>477</v>
      </c>
      <c r="E158">
        <v>2020</v>
      </c>
      <c r="F158" t="s">
        <v>5259</v>
      </c>
      <c r="G158" s="6" t="s">
        <v>5260</v>
      </c>
      <c r="H158" t="s">
        <v>5261</v>
      </c>
      <c r="I158" t="s">
        <v>5262</v>
      </c>
      <c r="K158" t="s">
        <v>5263</v>
      </c>
      <c r="L158" t="s">
        <v>5264</v>
      </c>
      <c r="N158" t="s">
        <v>5265</v>
      </c>
      <c r="O158" s="1">
        <v>45783.311249999999</v>
      </c>
      <c r="P158" s="1">
        <v>45783.311249999999</v>
      </c>
      <c r="Q158" s="1">
        <v>45783.311249999999</v>
      </c>
      <c r="R158" t="s">
        <v>5266</v>
      </c>
      <c r="X158" t="s">
        <v>5267</v>
      </c>
      <c r="AC158" t="s">
        <v>5107</v>
      </c>
      <c r="AD158" t="s">
        <v>5268</v>
      </c>
      <c r="AF158" t="s">
        <v>5140</v>
      </c>
      <c r="AJ158" t="s">
        <v>98</v>
      </c>
      <c r="BV158" t="s">
        <v>5261</v>
      </c>
    </row>
    <row r="159" spans="1:74" x14ac:dyDescent="0.2">
      <c r="A159" t="s">
        <v>6684</v>
      </c>
      <c r="B159" t="s">
        <v>7053</v>
      </c>
      <c r="C159" t="s">
        <v>4233</v>
      </c>
      <c r="D159" t="s">
        <v>477</v>
      </c>
      <c r="E159">
        <v>2021</v>
      </c>
      <c r="F159" t="s">
        <v>4234</v>
      </c>
      <c r="G159" s="6" t="s">
        <v>4235</v>
      </c>
      <c r="H159" t="s">
        <v>4236</v>
      </c>
      <c r="I159" t="s">
        <v>4237</v>
      </c>
      <c r="K159" t="s">
        <v>4238</v>
      </c>
      <c r="L159" t="s">
        <v>4239</v>
      </c>
      <c r="M159" t="s">
        <v>4240</v>
      </c>
      <c r="N159">
        <v>2021</v>
      </c>
      <c r="O159" s="1">
        <v>45783.306377314817</v>
      </c>
      <c r="P159" s="1">
        <v>45783.306377314817</v>
      </c>
      <c r="R159" t="s">
        <v>4241</v>
      </c>
      <c r="AC159" t="s">
        <v>3194</v>
      </c>
      <c r="AD159" t="s">
        <v>589</v>
      </c>
      <c r="AL159" t="s">
        <v>3479</v>
      </c>
      <c r="AP159" t="s">
        <v>4242</v>
      </c>
    </row>
    <row r="160" spans="1:74" x14ac:dyDescent="0.2">
      <c r="A160" t="s">
        <v>7033</v>
      </c>
      <c r="B160" t="s">
        <v>7041</v>
      </c>
      <c r="C160" t="s">
        <v>2451</v>
      </c>
      <c r="D160" t="s">
        <v>477</v>
      </c>
      <c r="E160">
        <v>2008</v>
      </c>
      <c r="F160" t="s">
        <v>2452</v>
      </c>
      <c r="G160" s="6" t="s">
        <v>2453</v>
      </c>
      <c r="H160" t="s">
        <v>2454</v>
      </c>
      <c r="I160" t="s">
        <v>2455</v>
      </c>
      <c r="K160" t="s">
        <v>2456</v>
      </c>
      <c r="L160" t="s">
        <v>2457</v>
      </c>
      <c r="M160" t="s">
        <v>2458</v>
      </c>
      <c r="N160">
        <v>2008</v>
      </c>
      <c r="O160" s="1">
        <v>45783.300162037034</v>
      </c>
      <c r="P160" s="1">
        <v>45783.300162037034</v>
      </c>
      <c r="U160">
        <v>6955</v>
      </c>
      <c r="AE160" t="s">
        <v>645</v>
      </c>
      <c r="AH160" t="s">
        <v>646</v>
      </c>
      <c r="AL160" t="s">
        <v>2459</v>
      </c>
      <c r="AP160" t="s">
        <v>2460</v>
      </c>
      <c r="BV160" t="s">
        <v>2461</v>
      </c>
    </row>
    <row r="161" spans="1:74" x14ac:dyDescent="0.2">
      <c r="A161" t="s">
        <v>6684</v>
      </c>
      <c r="B161" t="s">
        <v>7055</v>
      </c>
      <c r="C161" t="s">
        <v>5008</v>
      </c>
      <c r="D161" t="s">
        <v>102</v>
      </c>
      <c r="E161">
        <v>2015</v>
      </c>
      <c r="F161" t="s">
        <v>5009</v>
      </c>
      <c r="G161" s="6" t="s">
        <v>5010</v>
      </c>
      <c r="H161" t="s">
        <v>5011</v>
      </c>
      <c r="J161" t="s">
        <v>4040</v>
      </c>
      <c r="K161" t="s">
        <v>5012</v>
      </c>
      <c r="L161" t="s">
        <v>5013</v>
      </c>
      <c r="M161" t="s">
        <v>5014</v>
      </c>
      <c r="N161" t="s">
        <v>4888</v>
      </c>
      <c r="O161" s="1">
        <v>45783.306388888886</v>
      </c>
      <c r="P161" s="1">
        <v>45783.306388888886</v>
      </c>
      <c r="R161" t="s">
        <v>5015</v>
      </c>
      <c r="T161" t="s">
        <v>3283</v>
      </c>
      <c r="U161">
        <v>33</v>
      </c>
      <c r="AL161" t="s">
        <v>3435</v>
      </c>
      <c r="AP161" t="s">
        <v>5016</v>
      </c>
    </row>
    <row r="162" spans="1:74" x14ac:dyDescent="0.2">
      <c r="A162" t="s">
        <v>6684</v>
      </c>
      <c r="B162" t="s">
        <v>7035</v>
      </c>
      <c r="C162" t="s">
        <v>5130</v>
      </c>
      <c r="D162" t="s">
        <v>477</v>
      </c>
      <c r="E162">
        <v>2020</v>
      </c>
      <c r="F162" t="s">
        <v>5131</v>
      </c>
      <c r="G162" s="6" t="s">
        <v>5132</v>
      </c>
      <c r="H162" t="s">
        <v>5133</v>
      </c>
      <c r="I162" t="s">
        <v>5134</v>
      </c>
      <c r="K162" t="s">
        <v>5135</v>
      </c>
      <c r="L162" t="s">
        <v>5136</v>
      </c>
      <c r="N162" t="s">
        <v>5137</v>
      </c>
      <c r="O162" s="1">
        <v>45783.311122685183</v>
      </c>
      <c r="P162" s="1">
        <v>45783.474236111113</v>
      </c>
      <c r="Q162" s="1">
        <v>45783.311122685183</v>
      </c>
      <c r="R162" t="s">
        <v>5138</v>
      </c>
      <c r="AC162" t="s">
        <v>5107</v>
      </c>
      <c r="AD162" t="s">
        <v>5139</v>
      </c>
      <c r="AF162" t="s">
        <v>5140</v>
      </c>
      <c r="AJ162" t="s">
        <v>98</v>
      </c>
      <c r="AP162" t="s">
        <v>5141</v>
      </c>
      <c r="BV162" t="s">
        <v>5142</v>
      </c>
    </row>
    <row r="163" spans="1:74" x14ac:dyDescent="0.2">
      <c r="A163" t="s">
        <v>6684</v>
      </c>
      <c r="B163" t="s">
        <v>6653</v>
      </c>
      <c r="C163" t="s">
        <v>87</v>
      </c>
      <c r="D163" t="s">
        <v>88</v>
      </c>
      <c r="E163">
        <v>2024</v>
      </c>
      <c r="F163" t="s">
        <v>89</v>
      </c>
      <c r="G163" s="6" t="s">
        <v>90</v>
      </c>
      <c r="H163" t="s">
        <v>91</v>
      </c>
      <c r="I163" t="s">
        <v>92</v>
      </c>
      <c r="L163" t="s">
        <v>93</v>
      </c>
      <c r="N163">
        <v>2024</v>
      </c>
      <c r="O163" s="1">
        <v>45783.292893518519</v>
      </c>
      <c r="P163" s="1">
        <v>45783.292893518519</v>
      </c>
      <c r="Q163" s="1">
        <v>45783.292893518519</v>
      </c>
      <c r="R163" t="s">
        <v>94</v>
      </c>
      <c r="U163">
        <v>799</v>
      </c>
      <c r="AC163" t="s">
        <v>95</v>
      </c>
      <c r="AD163" t="s">
        <v>96</v>
      </c>
      <c r="AE163" t="s">
        <v>97</v>
      </c>
      <c r="AJ163" t="s">
        <v>98</v>
      </c>
      <c r="AL163" t="s">
        <v>99</v>
      </c>
      <c r="AR163" t="s">
        <v>100</v>
      </c>
    </row>
    <row r="164" spans="1:74" x14ac:dyDescent="0.2">
      <c r="A164" t="s">
        <v>6684</v>
      </c>
      <c r="B164" t="s">
        <v>6653</v>
      </c>
      <c r="C164" t="s">
        <v>3185</v>
      </c>
      <c r="D164" t="s">
        <v>477</v>
      </c>
      <c r="E164">
        <v>2024</v>
      </c>
      <c r="F164" t="s">
        <v>3186</v>
      </c>
      <c r="G164" s="6" t="s">
        <v>3187</v>
      </c>
      <c r="H164" t="s">
        <v>3188</v>
      </c>
      <c r="I164" t="s">
        <v>3189</v>
      </c>
      <c r="K164" t="s">
        <v>3190</v>
      </c>
      <c r="L164" t="s">
        <v>3191</v>
      </c>
      <c r="M164" t="s">
        <v>3192</v>
      </c>
      <c r="N164">
        <v>2024</v>
      </c>
      <c r="O164" s="1">
        <v>45783.292905092596</v>
      </c>
      <c r="P164" s="1">
        <v>45784.354363425926</v>
      </c>
      <c r="R164" t="s">
        <v>3193</v>
      </c>
      <c r="U164">
        <v>14703</v>
      </c>
      <c r="AC164" t="s">
        <v>3194</v>
      </c>
      <c r="AD164" t="s">
        <v>589</v>
      </c>
      <c r="AL164" t="s">
        <v>3195</v>
      </c>
      <c r="AP164" t="s">
        <v>3196</v>
      </c>
    </row>
    <row r="165" spans="1:74" x14ac:dyDescent="0.2">
      <c r="A165" t="s">
        <v>6684</v>
      </c>
      <c r="B165" t="s">
        <v>6685</v>
      </c>
      <c r="C165" t="s">
        <v>2893</v>
      </c>
      <c r="D165" t="s">
        <v>477</v>
      </c>
      <c r="E165">
        <v>2017</v>
      </c>
      <c r="F165" t="s">
        <v>2894</v>
      </c>
      <c r="G165" s="6" t="s">
        <v>2895</v>
      </c>
      <c r="H165" t="s">
        <v>1185</v>
      </c>
      <c r="I165" t="s">
        <v>2896</v>
      </c>
      <c r="K165" t="s">
        <v>2897</v>
      </c>
      <c r="L165" t="s">
        <v>2898</v>
      </c>
      <c r="M165" t="s">
        <v>2899</v>
      </c>
      <c r="N165">
        <v>2017</v>
      </c>
      <c r="O165" s="1">
        <v>45783.300173611111</v>
      </c>
      <c r="P165" s="1">
        <v>45783.300173611111</v>
      </c>
      <c r="R165" t="s">
        <v>2900</v>
      </c>
      <c r="U165" t="s">
        <v>2901</v>
      </c>
      <c r="AC165" t="s">
        <v>2306</v>
      </c>
      <c r="AE165" t="s">
        <v>645</v>
      </c>
      <c r="AH165" t="s">
        <v>646</v>
      </c>
      <c r="AL165" t="s">
        <v>1191</v>
      </c>
      <c r="AP165" t="s">
        <v>2902</v>
      </c>
      <c r="AR165" t="s">
        <v>2903</v>
      </c>
      <c r="BV165" t="s">
        <v>1194</v>
      </c>
    </row>
    <row r="166" spans="1:74" x14ac:dyDescent="0.2">
      <c r="A166" t="s">
        <v>6684</v>
      </c>
      <c r="B166" t="s">
        <v>7035</v>
      </c>
      <c r="C166" t="s">
        <v>777</v>
      </c>
      <c r="D166" t="s">
        <v>477</v>
      </c>
      <c r="E166">
        <v>2025</v>
      </c>
      <c r="F166" t="s">
        <v>778</v>
      </c>
      <c r="G166" s="6" t="s">
        <v>779</v>
      </c>
      <c r="H166" t="s">
        <v>780</v>
      </c>
      <c r="I166" t="s">
        <v>781</v>
      </c>
      <c r="K166" t="s">
        <v>782</v>
      </c>
      <c r="L166" t="s">
        <v>783</v>
      </c>
      <c r="M166" t="s">
        <v>784</v>
      </c>
      <c r="N166">
        <v>2025</v>
      </c>
      <c r="O166" s="1">
        <v>45783.300150462965</v>
      </c>
      <c r="P166" s="1">
        <v>45783.300150462965</v>
      </c>
      <c r="R166" t="s">
        <v>785</v>
      </c>
      <c r="U166" t="s">
        <v>786</v>
      </c>
      <c r="AC166" t="s">
        <v>787</v>
      </c>
      <c r="AE166" t="s">
        <v>645</v>
      </c>
      <c r="AH166" t="s">
        <v>646</v>
      </c>
      <c r="AL166" t="s">
        <v>788</v>
      </c>
      <c r="AP166" t="s">
        <v>789</v>
      </c>
      <c r="AR166" t="s">
        <v>790</v>
      </c>
      <c r="BV166" t="s">
        <v>791</v>
      </c>
    </row>
    <row r="167" spans="1:74" x14ac:dyDescent="0.2">
      <c r="A167" t="s">
        <v>6684</v>
      </c>
      <c r="B167" t="s">
        <v>7036</v>
      </c>
      <c r="C167" t="s">
        <v>4314</v>
      </c>
      <c r="D167" t="s">
        <v>477</v>
      </c>
      <c r="E167">
        <v>2019</v>
      </c>
      <c r="F167" t="s">
        <v>4315</v>
      </c>
      <c r="G167" s="6" t="s">
        <v>4316</v>
      </c>
      <c r="H167" t="s">
        <v>4317</v>
      </c>
      <c r="I167" t="s">
        <v>4318</v>
      </c>
      <c r="K167" t="s">
        <v>4319</v>
      </c>
      <c r="L167" t="s">
        <v>4320</v>
      </c>
      <c r="M167" t="s">
        <v>4321</v>
      </c>
      <c r="N167">
        <v>2019</v>
      </c>
      <c r="O167" s="1">
        <v>45783.306377314817</v>
      </c>
      <c r="P167" s="1">
        <v>45783.381076388891</v>
      </c>
      <c r="R167" t="s">
        <v>4322</v>
      </c>
      <c r="Y167" t="s">
        <v>4323</v>
      </c>
      <c r="AC167" t="s">
        <v>1167</v>
      </c>
      <c r="AD167" t="s">
        <v>3218</v>
      </c>
      <c r="AL167" t="s">
        <v>4324</v>
      </c>
      <c r="AP167" t="s">
        <v>4325</v>
      </c>
      <c r="BV167" t="s">
        <v>2926</v>
      </c>
    </row>
    <row r="168" spans="1:74" x14ac:dyDescent="0.2">
      <c r="A168" t="s">
        <v>6684</v>
      </c>
      <c r="B168" t="s">
        <v>7035</v>
      </c>
      <c r="C168" t="s">
        <v>955</v>
      </c>
      <c r="D168" t="s">
        <v>102</v>
      </c>
      <c r="E168">
        <v>2024</v>
      </c>
      <c r="F168" t="s">
        <v>956</v>
      </c>
      <c r="G168" s="6" t="s">
        <v>957</v>
      </c>
      <c r="H168" t="s">
        <v>820</v>
      </c>
      <c r="J168" t="s">
        <v>821</v>
      </c>
      <c r="K168" t="s">
        <v>958</v>
      </c>
      <c r="L168" t="s">
        <v>959</v>
      </c>
      <c r="M168" t="s">
        <v>960</v>
      </c>
      <c r="N168">
        <v>2024</v>
      </c>
      <c r="O168" s="1">
        <v>45783.300150462965</v>
      </c>
      <c r="P168" s="1">
        <v>45783.300150462965</v>
      </c>
      <c r="T168">
        <v>21</v>
      </c>
      <c r="U168">
        <v>14</v>
      </c>
      <c r="W168" t="s">
        <v>825</v>
      </c>
      <c r="AE168" t="s">
        <v>645</v>
      </c>
      <c r="AH168" t="s">
        <v>646</v>
      </c>
      <c r="AL168" t="s">
        <v>826</v>
      </c>
      <c r="AP168" t="s">
        <v>961</v>
      </c>
    </row>
    <row r="169" spans="1:74" x14ac:dyDescent="0.2">
      <c r="A169" t="s">
        <v>6684</v>
      </c>
      <c r="B169" t="s">
        <v>6657</v>
      </c>
      <c r="C169" t="s">
        <v>579</v>
      </c>
      <c r="D169" t="s">
        <v>477</v>
      </c>
      <c r="E169">
        <v>2012</v>
      </c>
      <c r="F169" t="s">
        <v>580</v>
      </c>
      <c r="G169" s="6" t="s">
        <v>581</v>
      </c>
      <c r="H169" t="s">
        <v>582</v>
      </c>
      <c r="I169" t="s">
        <v>583</v>
      </c>
      <c r="K169" t="s">
        <v>584</v>
      </c>
      <c r="L169" t="s">
        <v>585</v>
      </c>
      <c r="N169">
        <v>2012</v>
      </c>
      <c r="O169" s="1">
        <v>45783.293749999997</v>
      </c>
      <c r="P169" s="1">
        <v>45783.395162037035</v>
      </c>
      <c r="Q169" s="1">
        <v>45783.293749999997</v>
      </c>
      <c r="R169" t="s">
        <v>586</v>
      </c>
      <c r="U169">
        <v>7522</v>
      </c>
      <c r="Y169" t="s">
        <v>587</v>
      </c>
      <c r="AC169" t="s">
        <v>588</v>
      </c>
      <c r="AD169" t="s">
        <v>589</v>
      </c>
      <c r="AJ169" t="s">
        <v>98</v>
      </c>
      <c r="AL169" t="s">
        <v>590</v>
      </c>
      <c r="AN169" t="s">
        <v>591</v>
      </c>
      <c r="AP169" t="s">
        <v>592</v>
      </c>
      <c r="AR169" t="s">
        <v>593</v>
      </c>
    </row>
    <row r="170" spans="1:74" x14ac:dyDescent="0.2">
      <c r="A170" t="s">
        <v>6684</v>
      </c>
      <c r="B170" t="s">
        <v>7035</v>
      </c>
      <c r="C170" t="s">
        <v>4702</v>
      </c>
      <c r="D170" t="s">
        <v>477</v>
      </c>
      <c r="E170">
        <v>2023</v>
      </c>
      <c r="F170" t="s">
        <v>4703</v>
      </c>
      <c r="G170" s="6" t="s">
        <v>4704</v>
      </c>
      <c r="H170" t="s">
        <v>4705</v>
      </c>
      <c r="I170" t="s">
        <v>4706</v>
      </c>
      <c r="K170" t="s">
        <v>4707</v>
      </c>
      <c r="L170" t="s">
        <v>4708</v>
      </c>
      <c r="M170" t="s">
        <v>4709</v>
      </c>
      <c r="N170">
        <v>2023</v>
      </c>
      <c r="O170" s="1">
        <v>45783.306377314817</v>
      </c>
      <c r="P170" s="1">
        <v>45783.455821759257</v>
      </c>
      <c r="R170" t="s">
        <v>4710</v>
      </c>
      <c r="Y170" t="s">
        <v>4711</v>
      </c>
      <c r="AC170" t="s">
        <v>1167</v>
      </c>
      <c r="AD170" t="s">
        <v>3218</v>
      </c>
      <c r="AL170" t="s">
        <v>4055</v>
      </c>
      <c r="AP170" t="s">
        <v>4712</v>
      </c>
    </row>
    <row r="171" spans="1:74" x14ac:dyDescent="0.2">
      <c r="A171" t="s">
        <v>6684</v>
      </c>
      <c r="B171" t="s">
        <v>6657</v>
      </c>
      <c r="C171" t="s">
        <v>3016</v>
      </c>
      <c r="D171" t="s">
        <v>102</v>
      </c>
      <c r="E171">
        <v>2014</v>
      </c>
      <c r="F171" t="s">
        <v>3017</v>
      </c>
      <c r="G171" s="6" t="s">
        <v>3018</v>
      </c>
      <c r="H171" t="s">
        <v>3019</v>
      </c>
      <c r="J171" t="s">
        <v>3020</v>
      </c>
      <c r="K171" t="s">
        <v>3021</v>
      </c>
      <c r="L171" t="s">
        <v>3022</v>
      </c>
      <c r="M171" t="s">
        <v>3023</v>
      </c>
      <c r="N171">
        <v>2014</v>
      </c>
      <c r="O171" s="1">
        <v>45783.300173611111</v>
      </c>
      <c r="P171" s="1">
        <v>45783.300173611111</v>
      </c>
      <c r="R171" t="s">
        <v>2506</v>
      </c>
      <c r="U171">
        <v>86</v>
      </c>
      <c r="W171" t="s">
        <v>3024</v>
      </c>
      <c r="AE171" t="s">
        <v>645</v>
      </c>
      <c r="AH171" t="s">
        <v>646</v>
      </c>
      <c r="AL171" t="s">
        <v>2283</v>
      </c>
      <c r="AP171" t="s">
        <v>3025</v>
      </c>
    </row>
    <row r="172" spans="1:74" x14ac:dyDescent="0.2">
      <c r="A172" t="s">
        <v>6684</v>
      </c>
      <c r="B172" t="s">
        <v>7035</v>
      </c>
      <c r="C172" t="s">
        <v>4222</v>
      </c>
      <c r="D172" t="s">
        <v>477</v>
      </c>
      <c r="E172">
        <v>2016</v>
      </c>
      <c r="F172" t="s">
        <v>4223</v>
      </c>
      <c r="G172" s="6" t="s">
        <v>4224</v>
      </c>
      <c r="H172" t="s">
        <v>4225</v>
      </c>
      <c r="I172" t="s">
        <v>4226</v>
      </c>
      <c r="K172" t="s">
        <v>4227</v>
      </c>
      <c r="L172" t="s">
        <v>4228</v>
      </c>
      <c r="M172" t="s">
        <v>4229</v>
      </c>
      <c r="N172">
        <v>2016</v>
      </c>
      <c r="O172" s="1">
        <v>45783.306377314817</v>
      </c>
      <c r="P172" s="1">
        <v>45783.306377314817</v>
      </c>
      <c r="Y172" t="s">
        <v>4230</v>
      </c>
      <c r="AC172" t="s">
        <v>1167</v>
      </c>
      <c r="AD172" t="s">
        <v>3218</v>
      </c>
      <c r="AL172" t="s">
        <v>4231</v>
      </c>
      <c r="AP172" t="s">
        <v>4232</v>
      </c>
    </row>
    <row r="173" spans="1:74" x14ac:dyDescent="0.2">
      <c r="A173" t="s">
        <v>6684</v>
      </c>
      <c r="B173" t="s">
        <v>7035</v>
      </c>
      <c r="C173" t="s">
        <v>1988</v>
      </c>
      <c r="D173" t="s">
        <v>477</v>
      </c>
      <c r="E173">
        <v>2022</v>
      </c>
      <c r="F173" t="s">
        <v>1989</v>
      </c>
      <c r="G173" s="6" t="s">
        <v>1990</v>
      </c>
      <c r="H173" t="s">
        <v>1991</v>
      </c>
      <c r="I173" t="s">
        <v>1992</v>
      </c>
      <c r="K173" t="s">
        <v>1993</v>
      </c>
      <c r="L173" t="s">
        <v>1994</v>
      </c>
      <c r="M173" t="s">
        <v>1995</v>
      </c>
      <c r="N173">
        <v>2022</v>
      </c>
      <c r="O173" s="1">
        <v>45783.300162037034</v>
      </c>
      <c r="P173" s="1">
        <v>45783.300162037034</v>
      </c>
      <c r="R173" t="s">
        <v>1996</v>
      </c>
      <c r="AC173" t="s">
        <v>787</v>
      </c>
      <c r="AE173" t="s">
        <v>645</v>
      </c>
      <c r="AH173" t="s">
        <v>646</v>
      </c>
      <c r="AL173" t="s">
        <v>1997</v>
      </c>
      <c r="AP173" t="s">
        <v>1998</v>
      </c>
      <c r="AR173" t="s">
        <v>1999</v>
      </c>
      <c r="BV173" t="s">
        <v>2000</v>
      </c>
    </row>
    <row r="174" spans="1:74" x14ac:dyDescent="0.2">
      <c r="A174" t="s">
        <v>6684</v>
      </c>
      <c r="B174" t="s">
        <v>7035</v>
      </c>
      <c r="C174" t="s">
        <v>6039</v>
      </c>
      <c r="D174" t="s">
        <v>477</v>
      </c>
      <c r="E174">
        <v>2022</v>
      </c>
      <c r="F174" t="s">
        <v>6040</v>
      </c>
      <c r="G174" s="6" t="s">
        <v>6041</v>
      </c>
      <c r="H174" t="s">
        <v>6042</v>
      </c>
      <c r="I174" t="s">
        <v>6043</v>
      </c>
      <c r="K174" t="s">
        <v>6044</v>
      </c>
      <c r="L174" t="s">
        <v>6045</v>
      </c>
      <c r="N174" s="2">
        <v>44844</v>
      </c>
      <c r="O174" s="1">
        <v>45783.312314814815</v>
      </c>
      <c r="P174" s="1">
        <v>45783.312314814815</v>
      </c>
      <c r="Q174" s="1">
        <v>45783.312314814815</v>
      </c>
      <c r="R174" t="s">
        <v>6046</v>
      </c>
      <c r="AC174" t="s">
        <v>5107</v>
      </c>
      <c r="AD174" t="s">
        <v>6047</v>
      </c>
      <c r="AF174" t="s">
        <v>5109</v>
      </c>
      <c r="AJ174" t="s">
        <v>98</v>
      </c>
      <c r="BV174" t="s">
        <v>6042</v>
      </c>
    </row>
    <row r="175" spans="1:74" x14ac:dyDescent="0.2">
      <c r="A175" t="s">
        <v>6684</v>
      </c>
      <c r="B175" t="s">
        <v>7035</v>
      </c>
      <c r="C175" t="s">
        <v>4007</v>
      </c>
      <c r="D175" t="s">
        <v>102</v>
      </c>
      <c r="E175">
        <v>1997</v>
      </c>
      <c r="F175" t="s">
        <v>4008</v>
      </c>
      <c r="G175" s="6" t="s">
        <v>4009</v>
      </c>
      <c r="H175" t="s">
        <v>4010</v>
      </c>
      <c r="J175" t="s">
        <v>4011</v>
      </c>
      <c r="K175" t="s">
        <v>4012</v>
      </c>
      <c r="L175" t="s">
        <v>4013</v>
      </c>
      <c r="M175" t="s">
        <v>4014</v>
      </c>
      <c r="N175" t="s">
        <v>4015</v>
      </c>
      <c r="O175" s="1">
        <v>45783.293842592589</v>
      </c>
      <c r="P175" s="1">
        <v>45783.453946759262</v>
      </c>
      <c r="R175" t="s">
        <v>4016</v>
      </c>
      <c r="T175">
        <v>4</v>
      </c>
      <c r="U175">
        <v>15</v>
      </c>
      <c r="AL175" t="s">
        <v>3412</v>
      </c>
    </row>
    <row r="176" spans="1:74" x14ac:dyDescent="0.2">
      <c r="A176" t="s">
        <v>6684</v>
      </c>
      <c r="B176" t="s">
        <v>7035</v>
      </c>
      <c r="C176" t="s">
        <v>111</v>
      </c>
      <c r="D176" t="s">
        <v>88</v>
      </c>
      <c r="E176">
        <v>2024</v>
      </c>
      <c r="F176" t="s">
        <v>112</v>
      </c>
      <c r="G176" s="6" t="s">
        <v>113</v>
      </c>
      <c r="H176" t="s">
        <v>114</v>
      </c>
      <c r="I176" t="s">
        <v>115</v>
      </c>
      <c r="L176" t="s">
        <v>116</v>
      </c>
      <c r="N176">
        <v>2024</v>
      </c>
      <c r="O176" s="1">
        <v>45783.292916666665</v>
      </c>
      <c r="P176" s="1">
        <v>45783.292916666665</v>
      </c>
      <c r="Q176" s="1">
        <v>45783.292916666665</v>
      </c>
      <c r="R176" t="s">
        <v>117</v>
      </c>
      <c r="U176">
        <v>15027</v>
      </c>
      <c r="X176" t="s">
        <v>118</v>
      </c>
      <c r="AC176" t="s">
        <v>95</v>
      </c>
      <c r="AD176" t="s">
        <v>96</v>
      </c>
      <c r="AE176" t="s">
        <v>97</v>
      </c>
      <c r="AJ176" t="s">
        <v>98</v>
      </c>
      <c r="AL176" t="s">
        <v>119</v>
      </c>
      <c r="AR176" t="s">
        <v>120</v>
      </c>
    </row>
    <row r="177" spans="1:74" x14ac:dyDescent="0.2">
      <c r="A177" t="s">
        <v>6684</v>
      </c>
      <c r="B177" t="s">
        <v>6657</v>
      </c>
      <c r="C177" t="s">
        <v>6483</v>
      </c>
      <c r="D177" t="s">
        <v>477</v>
      </c>
      <c r="E177">
        <v>2017</v>
      </c>
      <c r="F177" t="s">
        <v>6484</v>
      </c>
      <c r="G177" s="6" t="s">
        <v>6485</v>
      </c>
      <c r="H177" t="s">
        <v>6486</v>
      </c>
      <c r="I177" t="s">
        <v>6487</v>
      </c>
      <c r="K177" t="s">
        <v>6488</v>
      </c>
      <c r="L177" t="s">
        <v>6489</v>
      </c>
      <c r="N177" t="s">
        <v>5813</v>
      </c>
      <c r="O177" s="1">
        <v>45783.313645833332</v>
      </c>
      <c r="P177" s="1">
        <v>45783.466689814813</v>
      </c>
      <c r="Q177" s="1">
        <v>45783.313645833332</v>
      </c>
      <c r="R177" t="s">
        <v>6490</v>
      </c>
      <c r="X177" t="s">
        <v>6491</v>
      </c>
      <c r="AC177" t="s">
        <v>5107</v>
      </c>
      <c r="AD177" t="s">
        <v>6492</v>
      </c>
      <c r="AJ177" t="s">
        <v>98</v>
      </c>
      <c r="AN177" t="s">
        <v>6493</v>
      </c>
      <c r="AP177" t="s">
        <v>6494</v>
      </c>
      <c r="BV177" t="s">
        <v>6486</v>
      </c>
    </row>
    <row r="178" spans="1:74" x14ac:dyDescent="0.2">
      <c r="A178" t="s">
        <v>6684</v>
      </c>
      <c r="B178" t="s">
        <v>7055</v>
      </c>
      <c r="C178" t="s">
        <v>4535</v>
      </c>
      <c r="D178" t="s">
        <v>477</v>
      </c>
      <c r="E178">
        <v>2018</v>
      </c>
      <c r="F178" t="s">
        <v>4536</v>
      </c>
      <c r="G178" s="6" t="s">
        <v>4537</v>
      </c>
      <c r="H178" t="s">
        <v>3663</v>
      </c>
      <c r="I178" t="s">
        <v>3664</v>
      </c>
      <c r="K178" t="s">
        <v>4538</v>
      </c>
      <c r="L178" t="s">
        <v>4539</v>
      </c>
      <c r="M178" t="s">
        <v>4540</v>
      </c>
      <c r="N178">
        <v>2018</v>
      </c>
      <c r="O178" s="1">
        <v>45783.306377314817</v>
      </c>
      <c r="P178" s="1">
        <v>45783.382118055553</v>
      </c>
      <c r="Y178" t="s">
        <v>3668</v>
      </c>
      <c r="AC178" t="s">
        <v>1167</v>
      </c>
      <c r="AD178" t="s">
        <v>3218</v>
      </c>
      <c r="AL178" t="s">
        <v>3669</v>
      </c>
      <c r="AP178" t="s">
        <v>4541</v>
      </c>
    </row>
    <row r="179" spans="1:74" x14ac:dyDescent="0.2">
      <c r="A179" t="s">
        <v>6684</v>
      </c>
      <c r="B179" t="s">
        <v>7035</v>
      </c>
      <c r="C179" t="s">
        <v>5334</v>
      </c>
      <c r="D179" t="s">
        <v>477</v>
      </c>
      <c r="E179">
        <v>2024</v>
      </c>
      <c r="F179" t="s">
        <v>5335</v>
      </c>
      <c r="G179" s="6" t="s">
        <v>5336</v>
      </c>
      <c r="H179" t="s">
        <v>5337</v>
      </c>
      <c r="I179" t="s">
        <v>5338</v>
      </c>
      <c r="K179" t="s">
        <v>5339</v>
      </c>
      <c r="L179" t="s">
        <v>5340</v>
      </c>
      <c r="N179" s="2">
        <v>45602</v>
      </c>
      <c r="O179" s="1">
        <v>45783.311319444445</v>
      </c>
      <c r="P179" s="1">
        <v>45783.311319444445</v>
      </c>
      <c r="Q179" s="1">
        <v>45783.311319444445</v>
      </c>
      <c r="R179" s="3">
        <v>45809</v>
      </c>
      <c r="X179" t="s">
        <v>5341</v>
      </c>
      <c r="AC179" t="s">
        <v>5107</v>
      </c>
      <c r="AD179" t="s">
        <v>5342</v>
      </c>
      <c r="AF179" t="s">
        <v>5109</v>
      </c>
      <c r="AJ179" t="s">
        <v>98</v>
      </c>
      <c r="BV179" t="s">
        <v>5337</v>
      </c>
    </row>
    <row r="180" spans="1:74" x14ac:dyDescent="0.2">
      <c r="A180" t="s">
        <v>6684</v>
      </c>
      <c r="B180" t="s">
        <v>7035</v>
      </c>
      <c r="C180" t="s">
        <v>3771</v>
      </c>
      <c r="D180" t="s">
        <v>477</v>
      </c>
      <c r="E180">
        <v>2007</v>
      </c>
      <c r="F180" t="s">
        <v>3772</v>
      </c>
      <c r="G180" s="6" t="s">
        <v>3773</v>
      </c>
      <c r="H180" t="s">
        <v>3774</v>
      </c>
      <c r="I180" t="s">
        <v>3775</v>
      </c>
      <c r="M180" t="s">
        <v>3776</v>
      </c>
      <c r="N180">
        <v>2007</v>
      </c>
      <c r="O180" s="1">
        <v>45783.293819444443</v>
      </c>
      <c r="P180" s="1">
        <v>45784.353854166664</v>
      </c>
      <c r="R180" t="s">
        <v>3777</v>
      </c>
      <c r="U180">
        <v>4469</v>
      </c>
      <c r="Y180" t="s">
        <v>3778</v>
      </c>
      <c r="AC180" t="s">
        <v>3194</v>
      </c>
      <c r="AD180" t="s">
        <v>589</v>
      </c>
      <c r="AL180" t="s">
        <v>3548</v>
      </c>
      <c r="AP180" t="s">
        <v>3779</v>
      </c>
    </row>
    <row r="181" spans="1:74" x14ac:dyDescent="0.2">
      <c r="A181" t="s">
        <v>6684</v>
      </c>
      <c r="B181" t="s">
        <v>7035</v>
      </c>
      <c r="C181" t="s">
        <v>1010</v>
      </c>
      <c r="D181" t="s">
        <v>102</v>
      </c>
      <c r="E181">
        <v>2024</v>
      </c>
      <c r="F181" t="s">
        <v>1011</v>
      </c>
      <c r="G181" s="6" t="s">
        <v>1012</v>
      </c>
      <c r="H181" t="s">
        <v>820</v>
      </c>
      <c r="J181" t="s">
        <v>821</v>
      </c>
      <c r="K181" t="s">
        <v>1013</v>
      </c>
      <c r="L181" t="s">
        <v>1014</v>
      </c>
      <c r="M181" t="s">
        <v>1015</v>
      </c>
      <c r="N181">
        <v>2024</v>
      </c>
      <c r="O181" s="1">
        <v>45783.300150462965</v>
      </c>
      <c r="P181" s="1">
        <v>45783.300150462965</v>
      </c>
      <c r="T181">
        <v>6</v>
      </c>
      <c r="U181">
        <v>14</v>
      </c>
      <c r="W181" t="s">
        <v>825</v>
      </c>
      <c r="AE181" t="s">
        <v>645</v>
      </c>
      <c r="AH181" t="s">
        <v>646</v>
      </c>
      <c r="AL181" t="s">
        <v>826</v>
      </c>
      <c r="AP181" t="s">
        <v>1016</v>
      </c>
    </row>
    <row r="182" spans="1:74" x14ac:dyDescent="0.2">
      <c r="A182" t="s">
        <v>6684</v>
      </c>
      <c r="B182" t="s">
        <v>7035</v>
      </c>
      <c r="C182" t="s">
        <v>4391</v>
      </c>
      <c r="D182" t="s">
        <v>477</v>
      </c>
      <c r="E182">
        <v>2019</v>
      </c>
      <c r="F182" t="s">
        <v>4392</v>
      </c>
      <c r="G182" s="6" t="s">
        <v>4393</v>
      </c>
      <c r="H182" t="s">
        <v>4394</v>
      </c>
      <c r="I182" t="s">
        <v>4395</v>
      </c>
      <c r="K182" t="s">
        <v>4396</v>
      </c>
      <c r="L182" t="s">
        <v>4397</v>
      </c>
      <c r="M182" t="s">
        <v>4398</v>
      </c>
      <c r="N182">
        <v>2019</v>
      </c>
      <c r="O182" s="1">
        <v>45783.306377314817</v>
      </c>
      <c r="P182" s="1">
        <v>45783.306377314817</v>
      </c>
      <c r="R182" t="s">
        <v>4399</v>
      </c>
      <c r="AC182" t="s">
        <v>3194</v>
      </c>
      <c r="AD182" t="s">
        <v>589</v>
      </c>
      <c r="AL182" t="s">
        <v>4400</v>
      </c>
      <c r="AP182" t="s">
        <v>4401</v>
      </c>
    </row>
    <row r="183" spans="1:74" x14ac:dyDescent="0.2">
      <c r="A183" t="s">
        <v>7034</v>
      </c>
      <c r="B183" t="s">
        <v>7047</v>
      </c>
      <c r="C183" t="s">
        <v>5181</v>
      </c>
      <c r="D183" t="s">
        <v>477</v>
      </c>
      <c r="E183">
        <v>2025</v>
      </c>
      <c r="F183" t="s">
        <v>5182</v>
      </c>
      <c r="G183" s="6" t="s">
        <v>5183</v>
      </c>
      <c r="H183" t="s">
        <v>5184</v>
      </c>
      <c r="I183" t="s">
        <v>5185</v>
      </c>
      <c r="K183" t="s">
        <v>5186</v>
      </c>
      <c r="L183" t="s">
        <v>5187</v>
      </c>
      <c r="N183" s="2">
        <v>45704</v>
      </c>
      <c r="O183" s="1">
        <v>45783.311168981483</v>
      </c>
      <c r="P183" s="1">
        <v>45783.311168981483</v>
      </c>
      <c r="Q183" s="1">
        <v>45783.311168981483</v>
      </c>
      <c r="R183" t="s">
        <v>5188</v>
      </c>
      <c r="X183" t="s">
        <v>5189</v>
      </c>
      <c r="AC183" t="s">
        <v>5107</v>
      </c>
      <c r="AD183" t="s">
        <v>5190</v>
      </c>
      <c r="AF183" t="s">
        <v>5109</v>
      </c>
      <c r="AJ183" t="s">
        <v>98</v>
      </c>
      <c r="BV183" t="s">
        <v>5184</v>
      </c>
    </row>
    <row r="184" spans="1:74" x14ac:dyDescent="0.2">
      <c r="A184" t="s">
        <v>6684</v>
      </c>
      <c r="B184" t="s">
        <v>7035</v>
      </c>
      <c r="C184" t="s">
        <v>5988</v>
      </c>
      <c r="D184" t="s">
        <v>477</v>
      </c>
      <c r="E184">
        <v>2024</v>
      </c>
      <c r="F184" t="s">
        <v>5989</v>
      </c>
      <c r="G184" s="6" t="s">
        <v>5990</v>
      </c>
      <c r="H184" t="s">
        <v>5991</v>
      </c>
      <c r="I184" t="s">
        <v>5992</v>
      </c>
      <c r="K184" t="s">
        <v>5993</v>
      </c>
      <c r="L184" t="s">
        <v>5994</v>
      </c>
      <c r="N184" s="2">
        <v>45432</v>
      </c>
      <c r="O184" s="1">
        <v>45783.312222222223</v>
      </c>
      <c r="P184" s="1">
        <v>45783.312222222223</v>
      </c>
      <c r="Q184" s="1">
        <v>45783.312222222223</v>
      </c>
      <c r="R184" t="s">
        <v>5995</v>
      </c>
      <c r="AC184" t="s">
        <v>5107</v>
      </c>
      <c r="AD184" t="s">
        <v>5996</v>
      </c>
      <c r="AF184" t="s">
        <v>5109</v>
      </c>
      <c r="AJ184" t="s">
        <v>98</v>
      </c>
      <c r="BV184" t="s">
        <v>5991</v>
      </c>
    </row>
    <row r="185" spans="1:74" x14ac:dyDescent="0.2">
      <c r="A185" t="s">
        <v>6684</v>
      </c>
      <c r="B185" t="s">
        <v>6657</v>
      </c>
      <c r="C185" t="s">
        <v>2633</v>
      </c>
      <c r="D185" t="s">
        <v>477</v>
      </c>
      <c r="E185">
        <v>2007</v>
      </c>
      <c r="F185" t="s">
        <v>2634</v>
      </c>
      <c r="G185" s="6" t="s">
        <v>2635</v>
      </c>
      <c r="H185" t="s">
        <v>2636</v>
      </c>
      <c r="I185" t="s">
        <v>2637</v>
      </c>
      <c r="K185" t="s">
        <v>2638</v>
      </c>
      <c r="L185" t="s">
        <v>2639</v>
      </c>
      <c r="M185" t="s">
        <v>2640</v>
      </c>
      <c r="N185">
        <v>2007</v>
      </c>
      <c r="O185" s="1">
        <v>45783.300162037034</v>
      </c>
      <c r="P185" s="1">
        <v>45783.300162037034</v>
      </c>
      <c r="R185" t="s">
        <v>2641</v>
      </c>
      <c r="AE185" t="s">
        <v>645</v>
      </c>
      <c r="AH185" t="s">
        <v>646</v>
      </c>
      <c r="AL185" t="s">
        <v>2642</v>
      </c>
      <c r="AP185" t="s">
        <v>2643</v>
      </c>
      <c r="BV185" t="s">
        <v>2644</v>
      </c>
    </row>
    <row r="186" spans="1:74" x14ac:dyDescent="0.2">
      <c r="A186" t="s">
        <v>6684</v>
      </c>
      <c r="B186" t="s">
        <v>6657</v>
      </c>
      <c r="C186" t="s">
        <v>3005</v>
      </c>
      <c r="D186" t="s">
        <v>102</v>
      </c>
      <c r="E186">
        <v>2010</v>
      </c>
      <c r="F186" t="s">
        <v>3006</v>
      </c>
      <c r="G186" s="6" t="s">
        <v>3007</v>
      </c>
      <c r="H186" t="s">
        <v>3008</v>
      </c>
      <c r="J186" t="s">
        <v>3009</v>
      </c>
      <c r="K186" t="s">
        <v>3010</v>
      </c>
      <c r="L186" t="s">
        <v>3011</v>
      </c>
      <c r="M186" t="s">
        <v>3012</v>
      </c>
      <c r="N186">
        <v>2010</v>
      </c>
      <c r="O186" s="1">
        <v>45783.300173611111</v>
      </c>
      <c r="P186" s="1">
        <v>45783.300173611111</v>
      </c>
      <c r="R186" t="s">
        <v>3013</v>
      </c>
      <c r="T186">
        <v>1</v>
      </c>
      <c r="U186">
        <v>18</v>
      </c>
      <c r="W186" t="s">
        <v>3014</v>
      </c>
      <c r="AE186" t="s">
        <v>645</v>
      </c>
      <c r="AH186" t="s">
        <v>646</v>
      </c>
      <c r="AP186" t="s">
        <v>3015</v>
      </c>
    </row>
    <row r="187" spans="1:74" x14ac:dyDescent="0.2">
      <c r="A187" t="s">
        <v>7034</v>
      </c>
      <c r="B187" t="s">
        <v>7047</v>
      </c>
      <c r="C187" t="s">
        <v>2959</v>
      </c>
      <c r="D187" t="s">
        <v>477</v>
      </c>
      <c r="E187">
        <v>2017</v>
      </c>
      <c r="F187" t="s">
        <v>2960</v>
      </c>
      <c r="G187" s="6" t="s">
        <v>2961</v>
      </c>
      <c r="H187" t="s">
        <v>1161</v>
      </c>
      <c r="I187" t="s">
        <v>2962</v>
      </c>
      <c r="K187" t="s">
        <v>2963</v>
      </c>
      <c r="L187" t="s">
        <v>2964</v>
      </c>
      <c r="M187" t="s">
        <v>2965</v>
      </c>
      <c r="N187">
        <v>2017</v>
      </c>
      <c r="O187" s="1">
        <v>45783.300173611111</v>
      </c>
      <c r="P187" s="1">
        <v>45783.300173611111</v>
      </c>
      <c r="R187" t="s">
        <v>2966</v>
      </c>
      <c r="U187" t="s">
        <v>2967</v>
      </c>
      <c r="AC187" t="s">
        <v>1167</v>
      </c>
      <c r="AE187" t="s">
        <v>645</v>
      </c>
      <c r="AH187" t="s">
        <v>646</v>
      </c>
      <c r="AL187" t="s">
        <v>1168</v>
      </c>
      <c r="AP187" t="s">
        <v>2968</v>
      </c>
      <c r="BV187" t="s">
        <v>1170</v>
      </c>
    </row>
    <row r="188" spans="1:74" x14ac:dyDescent="0.2">
      <c r="A188" t="s">
        <v>7034</v>
      </c>
      <c r="B188" t="s">
        <v>6658</v>
      </c>
      <c r="C188" t="s">
        <v>5374</v>
      </c>
      <c r="D188" t="s">
        <v>477</v>
      </c>
      <c r="E188">
        <v>2017</v>
      </c>
      <c r="F188" t="s">
        <v>5375</v>
      </c>
      <c r="G188" s="6" t="s">
        <v>5376</v>
      </c>
      <c r="H188" t="s">
        <v>5377</v>
      </c>
      <c r="I188" t="s">
        <v>5378</v>
      </c>
      <c r="K188" t="s">
        <v>5379</v>
      </c>
      <c r="L188" t="s">
        <v>5380</v>
      </c>
      <c r="N188" t="s">
        <v>5381</v>
      </c>
      <c r="O188" s="1">
        <v>45783.311354166668</v>
      </c>
      <c r="P188" s="1">
        <v>45783.311354166668</v>
      </c>
      <c r="Q188" s="1">
        <v>45783.311354166668</v>
      </c>
      <c r="R188" t="s">
        <v>5382</v>
      </c>
      <c r="AC188" t="s">
        <v>5107</v>
      </c>
      <c r="AD188" t="s">
        <v>5383</v>
      </c>
      <c r="AJ188" t="s">
        <v>98</v>
      </c>
      <c r="BV188" t="s">
        <v>5377</v>
      </c>
    </row>
    <row r="189" spans="1:74" x14ac:dyDescent="0.2">
      <c r="A189" t="s">
        <v>6684</v>
      </c>
      <c r="B189" t="s">
        <v>7035</v>
      </c>
      <c r="C189" t="s">
        <v>5853</v>
      </c>
      <c r="D189" t="s">
        <v>477</v>
      </c>
      <c r="E189">
        <v>2020</v>
      </c>
      <c r="F189" t="s">
        <v>5854</v>
      </c>
      <c r="G189" s="6" t="s">
        <v>5855</v>
      </c>
      <c r="H189" t="s">
        <v>5856</v>
      </c>
      <c r="I189" t="s">
        <v>5857</v>
      </c>
      <c r="K189" t="s">
        <v>5858</v>
      </c>
      <c r="L189" t="s">
        <v>5859</v>
      </c>
      <c r="N189" t="s">
        <v>5860</v>
      </c>
      <c r="O189" s="1">
        <v>45783.312013888892</v>
      </c>
      <c r="P189" s="1">
        <v>45783.312013888892</v>
      </c>
      <c r="Q189" s="1">
        <v>45783.312013888892</v>
      </c>
      <c r="R189" t="s">
        <v>5861</v>
      </c>
      <c r="AC189" t="s">
        <v>5107</v>
      </c>
      <c r="AD189" t="s">
        <v>5862</v>
      </c>
      <c r="AJ189" t="s">
        <v>98</v>
      </c>
      <c r="BV189" t="s">
        <v>5856</v>
      </c>
    </row>
    <row r="190" spans="1:74" x14ac:dyDescent="0.2">
      <c r="A190" t="s">
        <v>6684</v>
      </c>
      <c r="B190" t="s">
        <v>7036</v>
      </c>
      <c r="C190" t="s">
        <v>3459</v>
      </c>
      <c r="D190" t="s">
        <v>102</v>
      </c>
      <c r="E190">
        <v>2022</v>
      </c>
      <c r="F190" t="s">
        <v>3460</v>
      </c>
      <c r="G190" s="6" t="s">
        <v>3461</v>
      </c>
      <c r="H190" t="s">
        <v>3462</v>
      </c>
      <c r="J190" t="s">
        <v>3463</v>
      </c>
      <c r="K190" t="s">
        <v>3464</v>
      </c>
      <c r="L190" t="s">
        <v>3465</v>
      </c>
      <c r="N190" t="s">
        <v>3466</v>
      </c>
      <c r="O190" s="1">
        <v>45783.30636574074</v>
      </c>
      <c r="P190" s="1">
        <v>45783.30636574074</v>
      </c>
      <c r="R190" t="s">
        <v>3467</v>
      </c>
      <c r="T190">
        <v>2</v>
      </c>
      <c r="U190">
        <v>53</v>
      </c>
      <c r="AL190" t="s">
        <v>3468</v>
      </c>
      <c r="AP190" t="s">
        <v>3469</v>
      </c>
    </row>
    <row r="191" spans="1:74" x14ac:dyDescent="0.2">
      <c r="A191" t="s">
        <v>6684</v>
      </c>
      <c r="B191" t="s">
        <v>7035</v>
      </c>
      <c r="C191" t="s">
        <v>5300</v>
      </c>
      <c r="D191" t="s">
        <v>477</v>
      </c>
      <c r="E191">
        <v>2024</v>
      </c>
      <c r="F191" t="s">
        <v>5301</v>
      </c>
      <c r="G191" s="6" t="s">
        <v>5302</v>
      </c>
      <c r="H191" t="s">
        <v>5303</v>
      </c>
      <c r="I191" t="s">
        <v>5304</v>
      </c>
      <c r="K191" t="s">
        <v>5305</v>
      </c>
      <c r="L191" t="s">
        <v>5306</v>
      </c>
      <c r="N191" s="2">
        <v>45547</v>
      </c>
      <c r="O191" s="1">
        <v>45783.311284722222</v>
      </c>
      <c r="P191" s="1">
        <v>45783.311284722222</v>
      </c>
      <c r="Q191" s="1">
        <v>45783.311284722222</v>
      </c>
      <c r="R191" s="3">
        <v>45778</v>
      </c>
      <c r="X191" t="s">
        <v>5307</v>
      </c>
      <c r="AC191" t="s">
        <v>5107</v>
      </c>
      <c r="AD191" t="s">
        <v>5308</v>
      </c>
      <c r="AF191" t="s">
        <v>5109</v>
      </c>
      <c r="AJ191" t="s">
        <v>98</v>
      </c>
      <c r="BV191" t="s">
        <v>5303</v>
      </c>
    </row>
    <row r="192" spans="1:74" x14ac:dyDescent="0.2">
      <c r="A192" t="s">
        <v>6684</v>
      </c>
      <c r="B192" t="s">
        <v>7035</v>
      </c>
      <c r="C192" t="s">
        <v>5520</v>
      </c>
      <c r="D192" t="s">
        <v>477</v>
      </c>
      <c r="E192">
        <v>2024</v>
      </c>
      <c r="F192" t="s">
        <v>5521</v>
      </c>
      <c r="G192" s="6" t="s">
        <v>5522</v>
      </c>
      <c r="H192" t="s">
        <v>5523</v>
      </c>
      <c r="I192" t="s">
        <v>5524</v>
      </c>
      <c r="K192" t="s">
        <v>5525</v>
      </c>
      <c r="L192" t="s">
        <v>5526</v>
      </c>
      <c r="N192" s="2">
        <v>45367</v>
      </c>
      <c r="O192" s="1">
        <v>45783.311539351853</v>
      </c>
      <c r="P192" s="1">
        <v>45783.311539351853</v>
      </c>
      <c r="Q192" s="1">
        <v>45783.311539351853</v>
      </c>
      <c r="R192" t="s">
        <v>5527</v>
      </c>
      <c r="X192" t="s">
        <v>5528</v>
      </c>
      <c r="AC192" t="s">
        <v>5107</v>
      </c>
      <c r="AD192" t="s">
        <v>5509</v>
      </c>
      <c r="AF192" t="s">
        <v>5109</v>
      </c>
      <c r="AJ192" t="s">
        <v>98</v>
      </c>
      <c r="BV192" t="s">
        <v>5523</v>
      </c>
    </row>
    <row r="193" spans="1:74" x14ac:dyDescent="0.2">
      <c r="A193" t="s">
        <v>7034</v>
      </c>
      <c r="B193" t="s">
        <v>6656</v>
      </c>
      <c r="C193" t="s">
        <v>2070</v>
      </c>
      <c r="D193" t="s">
        <v>102</v>
      </c>
      <c r="E193">
        <v>2022</v>
      </c>
      <c r="F193" t="s">
        <v>2071</v>
      </c>
      <c r="G193" s="6" t="s">
        <v>2072</v>
      </c>
      <c r="H193" t="s">
        <v>2073</v>
      </c>
      <c r="J193" t="s">
        <v>2074</v>
      </c>
      <c r="K193" t="s">
        <v>2075</v>
      </c>
      <c r="L193" t="s">
        <v>2076</v>
      </c>
      <c r="M193" t="s">
        <v>2077</v>
      </c>
      <c r="N193">
        <v>2022</v>
      </c>
      <c r="O193" s="1">
        <v>45783.300162037034</v>
      </c>
      <c r="P193" s="1">
        <v>45783.300162037034</v>
      </c>
      <c r="T193">
        <v>5</v>
      </c>
      <c r="U193">
        <v>11</v>
      </c>
      <c r="W193" t="s">
        <v>2073</v>
      </c>
      <c r="AE193" t="s">
        <v>645</v>
      </c>
      <c r="AH193" t="s">
        <v>646</v>
      </c>
      <c r="AL193" t="s">
        <v>1524</v>
      </c>
      <c r="AP193" t="s">
        <v>2078</v>
      </c>
    </row>
    <row r="194" spans="1:74" x14ac:dyDescent="0.2">
      <c r="A194" t="s">
        <v>6684</v>
      </c>
      <c r="B194" t="s">
        <v>6657</v>
      </c>
      <c r="C194" t="s">
        <v>1959</v>
      </c>
      <c r="D194" t="s">
        <v>102</v>
      </c>
      <c r="E194">
        <v>2022</v>
      </c>
      <c r="F194" t="s">
        <v>1960</v>
      </c>
      <c r="G194" s="6" t="s">
        <v>1961</v>
      </c>
      <c r="H194" t="s">
        <v>1962</v>
      </c>
      <c r="J194" t="s">
        <v>1963</v>
      </c>
      <c r="K194" t="s">
        <v>1964</v>
      </c>
      <c r="L194" t="s">
        <v>1965</v>
      </c>
      <c r="M194" t="s">
        <v>1966</v>
      </c>
      <c r="N194">
        <v>2022</v>
      </c>
      <c r="O194" s="1">
        <v>45783.300162037034</v>
      </c>
      <c r="P194" s="1">
        <v>45783.300162037034</v>
      </c>
      <c r="R194" t="s">
        <v>1967</v>
      </c>
      <c r="T194">
        <v>4</v>
      </c>
      <c r="U194">
        <v>50</v>
      </c>
      <c r="W194" t="s">
        <v>1968</v>
      </c>
      <c r="AE194" t="s">
        <v>645</v>
      </c>
      <c r="AH194" t="s">
        <v>646</v>
      </c>
      <c r="AL194" t="s">
        <v>1969</v>
      </c>
      <c r="AP194" t="s">
        <v>1970</v>
      </c>
    </row>
    <row r="195" spans="1:74" x14ac:dyDescent="0.2">
      <c r="A195" t="s">
        <v>6684</v>
      </c>
      <c r="B195" t="s">
        <v>6657</v>
      </c>
      <c r="C195" t="s">
        <v>2462</v>
      </c>
      <c r="D195" t="s">
        <v>477</v>
      </c>
      <c r="E195">
        <v>2018</v>
      </c>
      <c r="F195" t="s">
        <v>2463</v>
      </c>
      <c r="G195" s="6" t="s">
        <v>2464</v>
      </c>
      <c r="H195" t="s">
        <v>854</v>
      </c>
      <c r="I195" t="s">
        <v>855</v>
      </c>
      <c r="K195" t="s">
        <v>2465</v>
      </c>
      <c r="L195" t="s">
        <v>2466</v>
      </c>
      <c r="M195" t="s">
        <v>2467</v>
      </c>
      <c r="N195">
        <v>2018</v>
      </c>
      <c r="O195" s="1">
        <v>45783.300162037034</v>
      </c>
      <c r="P195" s="1">
        <v>45783.300162037034</v>
      </c>
      <c r="R195" t="s">
        <v>2468</v>
      </c>
      <c r="U195">
        <v>76</v>
      </c>
      <c r="AC195" t="s">
        <v>860</v>
      </c>
      <c r="AE195" t="s">
        <v>645</v>
      </c>
      <c r="AH195" t="s">
        <v>646</v>
      </c>
      <c r="AL195" t="s">
        <v>861</v>
      </c>
      <c r="AP195" t="s">
        <v>2469</v>
      </c>
      <c r="BV195" t="s">
        <v>854</v>
      </c>
    </row>
    <row r="196" spans="1:74" x14ac:dyDescent="0.2">
      <c r="A196" t="s">
        <v>6684</v>
      </c>
      <c r="B196" t="s">
        <v>7035</v>
      </c>
      <c r="C196" t="s">
        <v>344</v>
      </c>
      <c r="D196" t="s">
        <v>88</v>
      </c>
      <c r="E196">
        <v>2023</v>
      </c>
      <c r="F196" t="s">
        <v>345</v>
      </c>
      <c r="G196" s="6" t="s">
        <v>346</v>
      </c>
      <c r="H196" t="s">
        <v>347</v>
      </c>
      <c r="I196" t="s">
        <v>348</v>
      </c>
      <c r="L196" t="s">
        <v>349</v>
      </c>
      <c r="N196">
        <v>2023</v>
      </c>
      <c r="O196" s="1">
        <v>45783.293298611112</v>
      </c>
      <c r="P196" s="1">
        <v>45783.293298611112</v>
      </c>
      <c r="Q196" s="1">
        <v>45783.293298611112</v>
      </c>
      <c r="R196" t="s">
        <v>350</v>
      </c>
      <c r="U196">
        <v>14200</v>
      </c>
      <c r="AC196" t="s">
        <v>95</v>
      </c>
      <c r="AD196" t="s">
        <v>96</v>
      </c>
      <c r="AE196" t="s">
        <v>97</v>
      </c>
      <c r="AJ196" t="s">
        <v>98</v>
      </c>
      <c r="AL196" t="s">
        <v>351</v>
      </c>
      <c r="AR196" t="s">
        <v>352</v>
      </c>
    </row>
    <row r="197" spans="1:74" x14ac:dyDescent="0.2">
      <c r="A197" t="s">
        <v>6684</v>
      </c>
      <c r="B197" t="s">
        <v>6685</v>
      </c>
      <c r="C197" t="s">
        <v>1195</v>
      </c>
      <c r="D197" t="s">
        <v>477</v>
      </c>
      <c r="E197">
        <v>2024</v>
      </c>
      <c r="F197" t="s">
        <v>1196</v>
      </c>
      <c r="G197" s="6" t="s">
        <v>1197</v>
      </c>
      <c r="H197" t="s">
        <v>1198</v>
      </c>
      <c r="I197" t="s">
        <v>1199</v>
      </c>
      <c r="K197" t="s">
        <v>1200</v>
      </c>
      <c r="L197" t="s">
        <v>1201</v>
      </c>
      <c r="M197" t="s">
        <v>1202</v>
      </c>
      <c r="N197">
        <v>2024</v>
      </c>
      <c r="O197" s="1">
        <v>45783.300150462965</v>
      </c>
      <c r="P197" s="1">
        <v>45783.300150462965</v>
      </c>
      <c r="R197" t="s">
        <v>1203</v>
      </c>
      <c r="U197">
        <v>3401</v>
      </c>
      <c r="AC197" t="s">
        <v>1204</v>
      </c>
      <c r="AE197" t="s">
        <v>645</v>
      </c>
      <c r="AH197" t="s">
        <v>646</v>
      </c>
      <c r="AL197" t="s">
        <v>1205</v>
      </c>
      <c r="AP197" t="s">
        <v>1206</v>
      </c>
      <c r="AR197" t="s">
        <v>1207</v>
      </c>
      <c r="BV197" t="s">
        <v>1208</v>
      </c>
    </row>
    <row r="198" spans="1:74" x14ac:dyDescent="0.2">
      <c r="A198" t="s">
        <v>6684</v>
      </c>
      <c r="B198" t="s">
        <v>7036</v>
      </c>
      <c r="C198" t="s">
        <v>1854</v>
      </c>
      <c r="D198" t="s">
        <v>102</v>
      </c>
      <c r="E198">
        <v>2021</v>
      </c>
      <c r="F198" t="s">
        <v>1855</v>
      </c>
      <c r="G198" s="6" t="s">
        <v>1856</v>
      </c>
      <c r="H198" t="s">
        <v>1857</v>
      </c>
      <c r="J198" t="s">
        <v>1858</v>
      </c>
      <c r="K198" t="s">
        <v>1859</v>
      </c>
      <c r="L198" t="s">
        <v>1860</v>
      </c>
      <c r="M198" t="s">
        <v>1861</v>
      </c>
      <c r="N198">
        <v>2021</v>
      </c>
      <c r="O198" s="1">
        <v>45783.300162037034</v>
      </c>
      <c r="P198" s="1">
        <v>45783.300162037034</v>
      </c>
      <c r="R198" t="s">
        <v>1862</v>
      </c>
      <c r="T198">
        <v>4</v>
      </c>
      <c r="U198">
        <v>64</v>
      </c>
      <c r="W198" t="s">
        <v>1863</v>
      </c>
      <c r="AE198" t="s">
        <v>645</v>
      </c>
      <c r="AH198" t="s">
        <v>646</v>
      </c>
      <c r="AL198" t="s">
        <v>647</v>
      </c>
      <c r="AP198" t="s">
        <v>1864</v>
      </c>
    </row>
    <row r="199" spans="1:74" x14ac:dyDescent="0.2">
      <c r="A199" t="s">
        <v>6684</v>
      </c>
      <c r="B199" t="s">
        <v>7036</v>
      </c>
      <c r="C199" t="s">
        <v>2679</v>
      </c>
      <c r="D199" t="s">
        <v>477</v>
      </c>
      <c r="E199">
        <v>2018</v>
      </c>
      <c r="F199" t="s">
        <v>2680</v>
      </c>
      <c r="G199" s="6" t="s">
        <v>2681</v>
      </c>
      <c r="H199" t="s">
        <v>1185</v>
      </c>
      <c r="I199" t="s">
        <v>2682</v>
      </c>
      <c r="K199" t="s">
        <v>2683</v>
      </c>
      <c r="L199" t="s">
        <v>2684</v>
      </c>
      <c r="M199" t="s">
        <v>2685</v>
      </c>
      <c r="N199">
        <v>2018</v>
      </c>
      <c r="O199" s="1">
        <v>45783.300162037034</v>
      </c>
      <c r="P199" s="1">
        <v>45783.300162037034</v>
      </c>
      <c r="R199" t="s">
        <v>2686</v>
      </c>
      <c r="U199" t="s">
        <v>2687</v>
      </c>
      <c r="AC199" t="s">
        <v>2306</v>
      </c>
      <c r="AE199" t="s">
        <v>645</v>
      </c>
      <c r="AH199" t="s">
        <v>646</v>
      </c>
      <c r="AL199" t="s">
        <v>1191</v>
      </c>
      <c r="AP199" t="s">
        <v>2688</v>
      </c>
      <c r="AR199" t="s">
        <v>2689</v>
      </c>
      <c r="BV199" t="s">
        <v>1194</v>
      </c>
    </row>
    <row r="200" spans="1:74" x14ac:dyDescent="0.2">
      <c r="A200" t="s">
        <v>6684</v>
      </c>
      <c r="B200" t="s">
        <v>7035</v>
      </c>
      <c r="C200" t="s">
        <v>5732</v>
      </c>
      <c r="D200" t="s">
        <v>477</v>
      </c>
      <c r="E200">
        <v>2022</v>
      </c>
      <c r="F200" t="s">
        <v>5733</v>
      </c>
      <c r="G200" s="6" t="s">
        <v>5734</v>
      </c>
      <c r="H200" t="s">
        <v>5735</v>
      </c>
      <c r="I200" t="s">
        <v>5736</v>
      </c>
      <c r="K200" t="s">
        <v>5737</v>
      </c>
      <c r="L200" t="s">
        <v>5738</v>
      </c>
      <c r="N200" s="2">
        <v>44692</v>
      </c>
      <c r="O200" s="1">
        <v>45783.311851851853</v>
      </c>
      <c r="P200" s="1">
        <v>45783.311851851853</v>
      </c>
      <c r="Q200" s="1">
        <v>45783.311851851853</v>
      </c>
      <c r="R200" t="s">
        <v>5739</v>
      </c>
      <c r="X200" t="s">
        <v>5740</v>
      </c>
      <c r="AC200" t="s">
        <v>5107</v>
      </c>
      <c r="AD200" t="s">
        <v>5600</v>
      </c>
      <c r="AF200" t="s">
        <v>5109</v>
      </c>
      <c r="AJ200" t="s">
        <v>98</v>
      </c>
      <c r="BV200" t="s">
        <v>5735</v>
      </c>
    </row>
    <row r="201" spans="1:74" x14ac:dyDescent="0.2">
      <c r="A201" t="s">
        <v>6684</v>
      </c>
      <c r="B201" t="s">
        <v>7035</v>
      </c>
      <c r="C201" t="s">
        <v>5055</v>
      </c>
      <c r="D201" t="s">
        <v>477</v>
      </c>
      <c r="E201">
        <v>2023</v>
      </c>
      <c r="F201" t="s">
        <v>5056</v>
      </c>
      <c r="G201" s="6" t="s">
        <v>5057</v>
      </c>
      <c r="H201" t="s">
        <v>3451</v>
      </c>
      <c r="I201" t="s">
        <v>3452</v>
      </c>
      <c r="K201" t="s">
        <v>5058</v>
      </c>
      <c r="L201" t="s">
        <v>5059</v>
      </c>
      <c r="M201" t="s">
        <v>5060</v>
      </c>
      <c r="N201">
        <v>2023</v>
      </c>
      <c r="O201" s="1">
        <v>45783.306388888886</v>
      </c>
      <c r="P201" s="1">
        <v>45783.446875000001</v>
      </c>
      <c r="Y201" t="s">
        <v>3456</v>
      </c>
      <c r="AC201" t="s">
        <v>1167</v>
      </c>
      <c r="AD201" t="s">
        <v>3218</v>
      </c>
      <c r="AL201" t="s">
        <v>3457</v>
      </c>
      <c r="AP201" t="s">
        <v>5061</v>
      </c>
    </row>
    <row r="202" spans="1:74" x14ac:dyDescent="0.2">
      <c r="A202" t="s">
        <v>6684</v>
      </c>
      <c r="B202" t="s">
        <v>6653</v>
      </c>
      <c r="C202" t="s">
        <v>3265</v>
      </c>
      <c r="D202" t="s">
        <v>477</v>
      </c>
      <c r="E202">
        <v>2023</v>
      </c>
      <c r="F202" t="s">
        <v>3266</v>
      </c>
      <c r="G202" s="6" t="s">
        <v>3267</v>
      </c>
      <c r="H202" t="s">
        <v>3268</v>
      </c>
      <c r="I202" t="s">
        <v>3269</v>
      </c>
      <c r="K202" t="s">
        <v>3270</v>
      </c>
      <c r="L202" t="s">
        <v>3271</v>
      </c>
      <c r="M202" t="s">
        <v>3272</v>
      </c>
      <c r="N202">
        <v>2023</v>
      </c>
      <c r="O202" s="1">
        <v>45783.293020833335</v>
      </c>
      <c r="P202" s="1">
        <v>45784.354247685187</v>
      </c>
      <c r="R202" t="s">
        <v>3273</v>
      </c>
      <c r="U202">
        <v>14020</v>
      </c>
      <c r="AC202" t="s">
        <v>3194</v>
      </c>
      <c r="AD202" t="s">
        <v>589</v>
      </c>
      <c r="AL202" t="s">
        <v>3206</v>
      </c>
      <c r="AP202" t="s">
        <v>3274</v>
      </c>
    </row>
    <row r="203" spans="1:74" x14ac:dyDescent="0.2">
      <c r="A203" t="s">
        <v>6684</v>
      </c>
      <c r="B203" t="s">
        <v>7037</v>
      </c>
      <c r="C203" t="s">
        <v>3121</v>
      </c>
      <c r="D203" t="s">
        <v>102</v>
      </c>
      <c r="E203">
        <v>2004</v>
      </c>
      <c r="F203" t="s">
        <v>3122</v>
      </c>
      <c r="G203" s="6" t="s">
        <v>3123</v>
      </c>
      <c r="H203" t="s">
        <v>1376</v>
      </c>
      <c r="J203" t="s">
        <v>1377</v>
      </c>
      <c r="K203" t="s">
        <v>3124</v>
      </c>
      <c r="L203" t="s">
        <v>3125</v>
      </c>
      <c r="M203" t="s">
        <v>3126</v>
      </c>
      <c r="N203">
        <v>2004</v>
      </c>
      <c r="O203" s="1">
        <v>45783.300173611111</v>
      </c>
      <c r="P203" s="1">
        <v>45783.300173611111</v>
      </c>
      <c r="R203" t="s">
        <v>3127</v>
      </c>
      <c r="T203">
        <v>2</v>
      </c>
      <c r="U203">
        <v>10</v>
      </c>
      <c r="W203" t="s">
        <v>1382</v>
      </c>
      <c r="AE203" t="s">
        <v>645</v>
      </c>
      <c r="AH203" t="s">
        <v>646</v>
      </c>
      <c r="AP203" t="s">
        <v>3128</v>
      </c>
    </row>
    <row r="204" spans="1:74" x14ac:dyDescent="0.2">
      <c r="A204" t="s">
        <v>7034</v>
      </c>
      <c r="B204" t="s">
        <v>6656</v>
      </c>
      <c r="C204" t="s">
        <v>5799</v>
      </c>
      <c r="D204" t="s">
        <v>477</v>
      </c>
      <c r="E204">
        <v>2021</v>
      </c>
      <c r="F204" t="s">
        <v>5800</v>
      </c>
      <c r="G204" s="6" t="s">
        <v>5801</v>
      </c>
      <c r="H204" t="s">
        <v>5689</v>
      </c>
      <c r="I204" t="s">
        <v>5690</v>
      </c>
      <c r="K204" t="s">
        <v>5802</v>
      </c>
      <c r="L204" t="s">
        <v>5803</v>
      </c>
      <c r="N204" t="s">
        <v>5401</v>
      </c>
      <c r="O204" s="1">
        <v>45783.311921296299</v>
      </c>
      <c r="P204" s="1">
        <v>45783.311921296299</v>
      </c>
      <c r="Q204" s="1">
        <v>45783.311921296299</v>
      </c>
      <c r="R204" t="s">
        <v>5804</v>
      </c>
      <c r="X204" t="s">
        <v>5805</v>
      </c>
      <c r="AC204" t="s">
        <v>5107</v>
      </c>
      <c r="AD204" t="s">
        <v>5695</v>
      </c>
      <c r="AF204" t="s">
        <v>5140</v>
      </c>
      <c r="AJ204" t="s">
        <v>98</v>
      </c>
      <c r="BV204" t="s">
        <v>5689</v>
      </c>
    </row>
    <row r="205" spans="1:74" x14ac:dyDescent="0.2">
      <c r="A205" t="s">
        <v>6684</v>
      </c>
      <c r="B205" t="s">
        <v>6685</v>
      </c>
      <c r="C205" t="s">
        <v>4017</v>
      </c>
      <c r="D205" t="s">
        <v>102</v>
      </c>
      <c r="E205">
        <v>2025</v>
      </c>
      <c r="F205" t="s">
        <v>4018</v>
      </c>
      <c r="G205" s="6" t="s">
        <v>4019</v>
      </c>
      <c r="H205" t="s">
        <v>4020</v>
      </c>
      <c r="J205" t="s">
        <v>4021</v>
      </c>
      <c r="K205" t="s">
        <v>4022</v>
      </c>
      <c r="L205" t="s">
        <v>4023</v>
      </c>
      <c r="M205" t="s">
        <v>4024</v>
      </c>
      <c r="N205" t="s">
        <v>3756</v>
      </c>
      <c r="O205" s="1">
        <v>45783.306377314817</v>
      </c>
      <c r="P205" s="1">
        <v>45783.411226851851</v>
      </c>
      <c r="T205">
        <v>1</v>
      </c>
      <c r="U205">
        <v>29</v>
      </c>
      <c r="AL205" t="s">
        <v>3897</v>
      </c>
      <c r="AP205" t="s">
        <v>4025</v>
      </c>
    </row>
    <row r="206" spans="1:74" x14ac:dyDescent="0.2">
      <c r="A206" t="s">
        <v>6684</v>
      </c>
      <c r="B206" t="s">
        <v>7035</v>
      </c>
      <c r="C206" t="s">
        <v>5414</v>
      </c>
      <c r="D206" t="s">
        <v>477</v>
      </c>
      <c r="E206">
        <v>2016</v>
      </c>
      <c r="F206" t="s">
        <v>5415</v>
      </c>
      <c r="G206" s="6" t="s">
        <v>5416</v>
      </c>
      <c r="H206" t="s">
        <v>5417</v>
      </c>
      <c r="I206" t="s">
        <v>5418</v>
      </c>
      <c r="K206" t="s">
        <v>5419</v>
      </c>
      <c r="L206" t="s">
        <v>5420</v>
      </c>
      <c r="N206" t="s">
        <v>5421</v>
      </c>
      <c r="O206" s="1">
        <v>45783.311388888891</v>
      </c>
      <c r="P206" s="1">
        <v>45783.311388888891</v>
      </c>
      <c r="Q206" s="1">
        <v>45783.311388888891</v>
      </c>
      <c r="R206" s="3">
        <v>45778</v>
      </c>
      <c r="AC206" t="s">
        <v>5107</v>
      </c>
      <c r="AD206" t="s">
        <v>5108</v>
      </c>
      <c r="AJ206" t="s">
        <v>98</v>
      </c>
      <c r="BV206" t="s">
        <v>5417</v>
      </c>
    </row>
    <row r="207" spans="1:74" x14ac:dyDescent="0.2">
      <c r="A207" t="s">
        <v>6684</v>
      </c>
      <c r="B207" t="s">
        <v>7035</v>
      </c>
      <c r="C207" t="s">
        <v>5601</v>
      </c>
      <c r="D207" t="s">
        <v>477</v>
      </c>
      <c r="E207">
        <v>2024</v>
      </c>
      <c r="F207" t="s">
        <v>5602</v>
      </c>
      <c r="G207" s="6" t="s">
        <v>5603</v>
      </c>
      <c r="H207" t="s">
        <v>5604</v>
      </c>
      <c r="I207" t="s">
        <v>5605</v>
      </c>
      <c r="K207" t="s">
        <v>5606</v>
      </c>
      <c r="L207" t="s">
        <v>5607</v>
      </c>
      <c r="N207" s="2">
        <v>45589</v>
      </c>
      <c r="O207" s="1">
        <v>45783.311655092592</v>
      </c>
      <c r="P207" s="1">
        <v>45783.311655092592</v>
      </c>
      <c r="Q207" s="1">
        <v>45783.311655092592</v>
      </c>
      <c r="R207" s="3">
        <v>45778</v>
      </c>
      <c r="X207" t="s">
        <v>5608</v>
      </c>
      <c r="AC207" t="s">
        <v>5107</v>
      </c>
      <c r="AD207" t="s">
        <v>5308</v>
      </c>
      <c r="AF207" t="s">
        <v>5109</v>
      </c>
      <c r="AJ207" t="s">
        <v>98</v>
      </c>
      <c r="BV207" t="s">
        <v>5604</v>
      </c>
    </row>
    <row r="208" spans="1:74" x14ac:dyDescent="0.2">
      <c r="A208" t="s">
        <v>6684</v>
      </c>
      <c r="B208" t="s">
        <v>6653</v>
      </c>
      <c r="C208" t="s">
        <v>3889</v>
      </c>
      <c r="D208" t="s">
        <v>102</v>
      </c>
      <c r="E208">
        <v>2023</v>
      </c>
      <c r="F208" t="s">
        <v>3890</v>
      </c>
      <c r="G208" s="6" t="s">
        <v>3891</v>
      </c>
      <c r="H208" t="s">
        <v>3892</v>
      </c>
      <c r="K208" t="s">
        <v>3893</v>
      </c>
      <c r="L208" t="s">
        <v>3894</v>
      </c>
      <c r="M208" t="s">
        <v>3895</v>
      </c>
      <c r="N208" t="s">
        <v>3896</v>
      </c>
      <c r="O208" s="1">
        <v>45783.306377314817</v>
      </c>
      <c r="P208" s="1">
        <v>45783.306377314817</v>
      </c>
      <c r="T208">
        <v>5</v>
      </c>
      <c r="U208">
        <v>4</v>
      </c>
      <c r="AL208" t="s">
        <v>3897</v>
      </c>
      <c r="AP208" t="s">
        <v>3898</v>
      </c>
    </row>
    <row r="209" spans="1:74" x14ac:dyDescent="0.2">
      <c r="A209" t="s">
        <v>6684</v>
      </c>
      <c r="B209" t="s">
        <v>7035</v>
      </c>
      <c r="C209" t="s">
        <v>4102</v>
      </c>
      <c r="D209" t="s">
        <v>477</v>
      </c>
      <c r="E209">
        <v>2023</v>
      </c>
      <c r="F209" t="s">
        <v>4103</v>
      </c>
      <c r="G209" s="6" t="s">
        <v>4104</v>
      </c>
      <c r="H209" t="s">
        <v>4105</v>
      </c>
      <c r="I209" t="s">
        <v>4106</v>
      </c>
      <c r="K209" t="s">
        <v>4107</v>
      </c>
      <c r="L209" t="s">
        <v>4108</v>
      </c>
      <c r="M209" t="s">
        <v>4109</v>
      </c>
      <c r="N209">
        <v>2023</v>
      </c>
      <c r="O209" s="1">
        <v>45783.306377314817</v>
      </c>
      <c r="P209" s="1">
        <v>45783.306377314817</v>
      </c>
      <c r="Y209" t="s">
        <v>4110</v>
      </c>
      <c r="AC209" t="s">
        <v>1167</v>
      </c>
      <c r="AD209" t="s">
        <v>3218</v>
      </c>
      <c r="AL209" t="s">
        <v>3457</v>
      </c>
      <c r="AP209" t="s">
        <v>4111</v>
      </c>
    </row>
    <row r="210" spans="1:74" x14ac:dyDescent="0.2">
      <c r="A210" t="s">
        <v>7034</v>
      </c>
      <c r="B210" t="s">
        <v>6658</v>
      </c>
      <c r="C210" t="s">
        <v>1709</v>
      </c>
      <c r="D210" t="s">
        <v>477</v>
      </c>
      <c r="E210">
        <v>2020</v>
      </c>
      <c r="F210" t="s">
        <v>1710</v>
      </c>
      <c r="G210" s="6" t="s">
        <v>1711</v>
      </c>
      <c r="H210" t="s">
        <v>1712</v>
      </c>
      <c r="I210" t="s">
        <v>1713</v>
      </c>
      <c r="K210" t="s">
        <v>1714</v>
      </c>
      <c r="L210" t="s">
        <v>1715</v>
      </c>
      <c r="M210" t="s">
        <v>1716</v>
      </c>
      <c r="N210">
        <v>2020</v>
      </c>
      <c r="O210" s="1">
        <v>45783.300150462965</v>
      </c>
      <c r="P210" s="1">
        <v>45783.300150462965</v>
      </c>
      <c r="R210" t="s">
        <v>1717</v>
      </c>
      <c r="AC210" t="s">
        <v>681</v>
      </c>
      <c r="AE210" t="s">
        <v>645</v>
      </c>
      <c r="AH210" t="s">
        <v>646</v>
      </c>
      <c r="AL210" t="s">
        <v>1718</v>
      </c>
      <c r="AP210" t="s">
        <v>1719</v>
      </c>
      <c r="BV210" t="s">
        <v>1720</v>
      </c>
    </row>
    <row r="211" spans="1:74" x14ac:dyDescent="0.2">
      <c r="A211" t="s">
        <v>6684</v>
      </c>
      <c r="B211" t="s">
        <v>7036</v>
      </c>
      <c r="C211" t="s">
        <v>4820</v>
      </c>
      <c r="D211" t="s">
        <v>477</v>
      </c>
      <c r="E211">
        <v>2021</v>
      </c>
      <c r="F211" t="s">
        <v>4821</v>
      </c>
      <c r="G211" s="6" t="s">
        <v>4822</v>
      </c>
      <c r="H211" t="s">
        <v>4823</v>
      </c>
      <c r="I211" t="s">
        <v>4824</v>
      </c>
      <c r="K211" t="s">
        <v>4825</v>
      </c>
      <c r="L211" t="s">
        <v>4826</v>
      </c>
      <c r="M211" t="s">
        <v>4827</v>
      </c>
      <c r="N211">
        <v>2021</v>
      </c>
      <c r="O211" s="1">
        <v>45783.306377314817</v>
      </c>
      <c r="P211" s="1">
        <v>45783.410162037035</v>
      </c>
      <c r="Y211" t="s">
        <v>4828</v>
      </c>
      <c r="AC211" t="s">
        <v>1167</v>
      </c>
      <c r="AD211" t="s">
        <v>3218</v>
      </c>
      <c r="AL211" t="s">
        <v>3536</v>
      </c>
      <c r="AP211" t="s">
        <v>4829</v>
      </c>
    </row>
    <row r="212" spans="1:74" x14ac:dyDescent="0.2">
      <c r="A212" t="s">
        <v>6684</v>
      </c>
      <c r="B212" t="s">
        <v>7035</v>
      </c>
      <c r="C212" t="s">
        <v>5908</v>
      </c>
      <c r="D212" t="s">
        <v>477</v>
      </c>
      <c r="E212">
        <v>2023</v>
      </c>
      <c r="F212" t="s">
        <v>5909</v>
      </c>
      <c r="G212" s="6" t="s">
        <v>5910</v>
      </c>
      <c r="H212" t="s">
        <v>5911</v>
      </c>
      <c r="I212" t="s">
        <v>5912</v>
      </c>
      <c r="K212" t="s">
        <v>5913</v>
      </c>
      <c r="L212" t="s">
        <v>5914</v>
      </c>
      <c r="N212" s="2">
        <v>45249</v>
      </c>
      <c r="O212" s="1">
        <v>45783.312060185184</v>
      </c>
      <c r="P212" s="1">
        <v>45783.312060185184</v>
      </c>
      <c r="Q212" s="1">
        <v>45783.312060185184</v>
      </c>
      <c r="R212" s="3">
        <v>45809</v>
      </c>
      <c r="AC212" t="s">
        <v>5107</v>
      </c>
      <c r="AD212" t="s">
        <v>5915</v>
      </c>
      <c r="AF212" t="s">
        <v>5109</v>
      </c>
      <c r="AJ212" t="s">
        <v>98</v>
      </c>
      <c r="BV212" t="s">
        <v>5911</v>
      </c>
    </row>
    <row r="213" spans="1:74" x14ac:dyDescent="0.2">
      <c r="A213" t="s">
        <v>7034</v>
      </c>
      <c r="B213" t="s">
        <v>6661</v>
      </c>
      <c r="C213" t="s">
        <v>4075</v>
      </c>
      <c r="D213" t="s">
        <v>477</v>
      </c>
      <c r="E213">
        <v>2023</v>
      </c>
      <c r="F213" t="s">
        <v>4076</v>
      </c>
      <c r="G213" s="6" t="s">
        <v>4077</v>
      </c>
      <c r="H213" t="s">
        <v>3363</v>
      </c>
      <c r="I213" t="s">
        <v>3364</v>
      </c>
      <c r="K213" t="s">
        <v>4078</v>
      </c>
      <c r="L213" t="s">
        <v>4079</v>
      </c>
      <c r="M213" t="s">
        <v>4080</v>
      </c>
      <c r="N213">
        <v>2023</v>
      </c>
      <c r="O213" s="1">
        <v>45783.306377314817</v>
      </c>
      <c r="P213" s="1">
        <v>45783.452824074076</v>
      </c>
      <c r="R213" t="s">
        <v>4081</v>
      </c>
      <c r="AC213" t="s">
        <v>3194</v>
      </c>
      <c r="AD213" t="s">
        <v>589</v>
      </c>
      <c r="AL213" t="s">
        <v>3369</v>
      </c>
      <c r="AP213" t="s">
        <v>4082</v>
      </c>
    </row>
    <row r="214" spans="1:74" x14ac:dyDescent="0.2">
      <c r="A214" t="s">
        <v>6684</v>
      </c>
      <c r="B214" t="s">
        <v>7035</v>
      </c>
      <c r="C214" t="s">
        <v>141</v>
      </c>
      <c r="D214" t="s">
        <v>102</v>
      </c>
      <c r="E214">
        <v>2025</v>
      </c>
      <c r="F214" t="s">
        <v>142</v>
      </c>
      <c r="G214" s="6" t="s">
        <v>143</v>
      </c>
      <c r="H214" t="s">
        <v>144</v>
      </c>
      <c r="J214" t="s">
        <v>145</v>
      </c>
      <c r="K214" t="s">
        <v>146</v>
      </c>
      <c r="L214" t="s">
        <v>147</v>
      </c>
      <c r="N214" s="2">
        <v>45705</v>
      </c>
      <c r="O214" s="1">
        <v>45783.292997685188</v>
      </c>
      <c r="P214" s="1">
        <v>45783.292997685188</v>
      </c>
      <c r="Q214" s="1">
        <v>45783.292997685188</v>
      </c>
      <c r="R214">
        <v>5781</v>
      </c>
      <c r="T214">
        <v>1</v>
      </c>
      <c r="U214">
        <v>15</v>
      </c>
      <c r="W214" t="s">
        <v>148</v>
      </c>
      <c r="AE214" t="s">
        <v>97</v>
      </c>
      <c r="AJ214" t="s">
        <v>98</v>
      </c>
      <c r="AN214" t="s">
        <v>149</v>
      </c>
    </row>
    <row r="215" spans="1:74" x14ac:dyDescent="0.2">
      <c r="A215" t="s">
        <v>6684</v>
      </c>
      <c r="B215" t="s">
        <v>7055</v>
      </c>
      <c r="C215" t="s">
        <v>2374</v>
      </c>
      <c r="D215" t="s">
        <v>477</v>
      </c>
      <c r="E215">
        <v>2016</v>
      </c>
      <c r="F215" t="s">
        <v>2375</v>
      </c>
      <c r="G215" s="6" t="s">
        <v>2376</v>
      </c>
      <c r="H215" t="s">
        <v>2377</v>
      </c>
      <c r="I215" t="s">
        <v>2378</v>
      </c>
      <c r="L215" t="s">
        <v>2379</v>
      </c>
      <c r="M215" t="s">
        <v>2380</v>
      </c>
      <c r="N215">
        <v>2016</v>
      </c>
      <c r="O215" s="1">
        <v>45783.300162037034</v>
      </c>
      <c r="P215" s="1">
        <v>45783.300162037034</v>
      </c>
      <c r="R215" t="s">
        <v>2381</v>
      </c>
      <c r="AC215" t="s">
        <v>2382</v>
      </c>
      <c r="AE215" t="s">
        <v>645</v>
      </c>
      <c r="AH215" t="s">
        <v>646</v>
      </c>
      <c r="AL215" t="s">
        <v>2383</v>
      </c>
      <c r="AP215" t="s">
        <v>2384</v>
      </c>
      <c r="AR215" t="s">
        <v>2385</v>
      </c>
      <c r="BV215" t="s">
        <v>2386</v>
      </c>
    </row>
    <row r="216" spans="1:74" x14ac:dyDescent="0.2">
      <c r="A216" t="s">
        <v>6684</v>
      </c>
      <c r="B216" t="s">
        <v>7035</v>
      </c>
      <c r="C216" t="s">
        <v>265</v>
      </c>
      <c r="D216" t="s">
        <v>102</v>
      </c>
      <c r="E216">
        <v>2024</v>
      </c>
      <c r="F216" t="s">
        <v>266</v>
      </c>
      <c r="G216" s="6" t="s">
        <v>267</v>
      </c>
      <c r="H216" t="s">
        <v>268</v>
      </c>
      <c r="J216" t="s">
        <v>269</v>
      </c>
      <c r="K216" t="s">
        <v>270</v>
      </c>
      <c r="L216" t="s">
        <v>271</v>
      </c>
      <c r="N216" t="s">
        <v>272</v>
      </c>
      <c r="O216" s="1">
        <v>45783.293171296296</v>
      </c>
      <c r="P216" s="1">
        <v>45783.453333333331</v>
      </c>
      <c r="Q216" s="1">
        <v>45783.293171296296</v>
      </c>
      <c r="R216" t="s">
        <v>273</v>
      </c>
      <c r="T216">
        <v>3</v>
      </c>
      <c r="U216">
        <v>23</v>
      </c>
      <c r="W216" t="s">
        <v>274</v>
      </c>
      <c r="AE216" t="s">
        <v>97</v>
      </c>
      <c r="AJ216" t="s">
        <v>98</v>
      </c>
      <c r="AN216" t="s">
        <v>275</v>
      </c>
      <c r="AP216" t="s">
        <v>276</v>
      </c>
    </row>
    <row r="217" spans="1:74" x14ac:dyDescent="0.2">
      <c r="A217" t="s">
        <v>6684</v>
      </c>
      <c r="B217" t="s">
        <v>6657</v>
      </c>
      <c r="C217" t="s">
        <v>2855</v>
      </c>
      <c r="D217" t="s">
        <v>477</v>
      </c>
      <c r="E217">
        <v>2019</v>
      </c>
      <c r="F217" t="s">
        <v>2856</v>
      </c>
      <c r="G217" s="6" t="s">
        <v>2857</v>
      </c>
      <c r="H217" t="s">
        <v>2858</v>
      </c>
      <c r="I217" t="s">
        <v>2859</v>
      </c>
      <c r="K217" t="s">
        <v>2860</v>
      </c>
      <c r="L217" t="s">
        <v>2861</v>
      </c>
      <c r="M217" t="s">
        <v>2862</v>
      </c>
      <c r="N217">
        <v>2019</v>
      </c>
      <c r="O217" s="1">
        <v>45783.300162037034</v>
      </c>
      <c r="P217" s="1">
        <v>45783.300162037034</v>
      </c>
      <c r="U217" t="s">
        <v>2863</v>
      </c>
      <c r="AC217" t="s">
        <v>681</v>
      </c>
      <c r="AE217" t="s">
        <v>645</v>
      </c>
      <c r="AH217" t="s">
        <v>646</v>
      </c>
      <c r="AL217" t="s">
        <v>2864</v>
      </c>
      <c r="AP217" t="s">
        <v>2865</v>
      </c>
      <c r="BV217" t="s">
        <v>2866</v>
      </c>
    </row>
    <row r="218" spans="1:74" x14ac:dyDescent="0.2">
      <c r="A218" t="s">
        <v>6684</v>
      </c>
      <c r="B218" t="s">
        <v>7036</v>
      </c>
      <c r="C218" t="s">
        <v>1933</v>
      </c>
      <c r="D218" t="s">
        <v>102</v>
      </c>
      <c r="E218">
        <v>2022</v>
      </c>
      <c r="F218" t="s">
        <v>1934</v>
      </c>
      <c r="G218" s="6" t="s">
        <v>1935</v>
      </c>
      <c r="H218" t="s">
        <v>1314</v>
      </c>
      <c r="J218" t="s">
        <v>1315</v>
      </c>
      <c r="K218" t="s">
        <v>1936</v>
      </c>
      <c r="L218" t="s">
        <v>1937</v>
      </c>
      <c r="M218" t="s">
        <v>1938</v>
      </c>
      <c r="N218">
        <v>2022</v>
      </c>
      <c r="O218" s="1">
        <v>45783.300162037034</v>
      </c>
      <c r="P218" s="1">
        <v>45783.300162037034</v>
      </c>
      <c r="T218">
        <v>17</v>
      </c>
      <c r="U218">
        <v>11</v>
      </c>
      <c r="W218" t="s">
        <v>1314</v>
      </c>
      <c r="AE218" t="s">
        <v>645</v>
      </c>
      <c r="AH218" t="s">
        <v>646</v>
      </c>
      <c r="AL218" t="s">
        <v>1524</v>
      </c>
      <c r="AP218" t="s">
        <v>1939</v>
      </c>
    </row>
    <row r="219" spans="1:74" x14ac:dyDescent="0.2">
      <c r="A219" t="s">
        <v>6684</v>
      </c>
      <c r="B219" t="s">
        <v>7050</v>
      </c>
      <c r="C219" t="s">
        <v>1787</v>
      </c>
      <c r="D219" t="s">
        <v>477</v>
      </c>
      <c r="E219">
        <v>2020</v>
      </c>
      <c r="F219" t="s">
        <v>1788</v>
      </c>
      <c r="G219" s="6" t="s">
        <v>1789</v>
      </c>
      <c r="H219" t="s">
        <v>1043</v>
      </c>
      <c r="I219" t="s">
        <v>1790</v>
      </c>
      <c r="K219" t="s">
        <v>1791</v>
      </c>
      <c r="L219" t="s">
        <v>1792</v>
      </c>
      <c r="M219" t="s">
        <v>1793</v>
      </c>
      <c r="N219">
        <v>2020</v>
      </c>
      <c r="O219" s="1">
        <v>45783.300162037034</v>
      </c>
      <c r="P219" s="1">
        <v>45783.300162037034</v>
      </c>
      <c r="R219" t="s">
        <v>1794</v>
      </c>
      <c r="U219">
        <v>1294</v>
      </c>
      <c r="AC219" t="s">
        <v>787</v>
      </c>
      <c r="AE219" t="s">
        <v>645</v>
      </c>
      <c r="AH219" t="s">
        <v>646</v>
      </c>
      <c r="AL219" t="s">
        <v>1050</v>
      </c>
      <c r="AP219" t="s">
        <v>1795</v>
      </c>
      <c r="AR219" t="s">
        <v>1796</v>
      </c>
      <c r="BV219" t="s">
        <v>1053</v>
      </c>
    </row>
    <row r="220" spans="1:74" x14ac:dyDescent="0.2">
      <c r="A220" t="s">
        <v>6684</v>
      </c>
      <c r="B220" t="s">
        <v>7050</v>
      </c>
      <c r="C220" t="s">
        <v>3950</v>
      </c>
      <c r="D220" t="s">
        <v>102</v>
      </c>
      <c r="E220">
        <v>2023</v>
      </c>
      <c r="F220" t="s">
        <v>3951</v>
      </c>
      <c r="G220" s="6" t="s">
        <v>3952</v>
      </c>
      <c r="H220" t="s">
        <v>877</v>
      </c>
      <c r="J220" t="s">
        <v>3279</v>
      </c>
      <c r="K220" t="s">
        <v>3953</v>
      </c>
      <c r="L220" t="s">
        <v>3954</v>
      </c>
      <c r="N220" t="s">
        <v>3896</v>
      </c>
      <c r="O220" s="1">
        <v>45783.306377314817</v>
      </c>
      <c r="P220" s="1">
        <v>45783.474444444444</v>
      </c>
      <c r="T220" t="s">
        <v>3283</v>
      </c>
      <c r="U220">
        <v>176</v>
      </c>
      <c r="W220" t="s">
        <v>882</v>
      </c>
      <c r="AL220" t="s">
        <v>3284</v>
      </c>
      <c r="AP220" t="s">
        <v>3955</v>
      </c>
    </row>
    <row r="221" spans="1:74" x14ac:dyDescent="0.2">
      <c r="A221" t="s">
        <v>6684</v>
      </c>
      <c r="B221" t="s">
        <v>7035</v>
      </c>
      <c r="C221" t="s">
        <v>4600</v>
      </c>
      <c r="D221" t="s">
        <v>477</v>
      </c>
      <c r="E221">
        <v>2012</v>
      </c>
      <c r="F221" t="s">
        <v>4601</v>
      </c>
      <c r="G221" s="6" t="s">
        <v>4602</v>
      </c>
      <c r="H221" t="s">
        <v>4405</v>
      </c>
      <c r="I221" t="s">
        <v>4406</v>
      </c>
      <c r="K221" t="s">
        <v>4603</v>
      </c>
      <c r="L221" t="s">
        <v>4604</v>
      </c>
      <c r="M221" t="s">
        <v>4605</v>
      </c>
      <c r="N221">
        <v>2012</v>
      </c>
      <c r="O221" s="1">
        <v>45783.306377314817</v>
      </c>
      <c r="P221" s="1">
        <v>45783.306377314817</v>
      </c>
      <c r="R221" t="s">
        <v>4606</v>
      </c>
      <c r="Y221" t="s">
        <v>4411</v>
      </c>
      <c r="AC221" t="s">
        <v>1167</v>
      </c>
      <c r="AD221" t="s">
        <v>3218</v>
      </c>
      <c r="AL221" t="s">
        <v>4412</v>
      </c>
      <c r="AP221" t="s">
        <v>4607</v>
      </c>
    </row>
    <row r="222" spans="1:74" x14ac:dyDescent="0.2">
      <c r="A222" t="s">
        <v>6684</v>
      </c>
      <c r="B222" t="s">
        <v>6653</v>
      </c>
      <c r="C222" t="s">
        <v>976</v>
      </c>
      <c r="D222" t="s">
        <v>102</v>
      </c>
      <c r="E222">
        <v>2024</v>
      </c>
      <c r="F222" t="s">
        <v>977</v>
      </c>
      <c r="G222" s="6" t="s">
        <v>978</v>
      </c>
      <c r="H222" t="s">
        <v>979</v>
      </c>
      <c r="J222" t="s">
        <v>980</v>
      </c>
      <c r="L222" t="s">
        <v>981</v>
      </c>
      <c r="M222" t="s">
        <v>982</v>
      </c>
      <c r="N222">
        <v>2024</v>
      </c>
      <c r="O222" s="1">
        <v>45783.300150462965</v>
      </c>
      <c r="P222" s="1">
        <v>45783.300150462965</v>
      </c>
      <c r="R222" t="s">
        <v>983</v>
      </c>
      <c r="T222">
        <v>11</v>
      </c>
      <c r="U222">
        <v>102</v>
      </c>
      <c r="W222" t="s">
        <v>984</v>
      </c>
      <c r="AE222" t="s">
        <v>645</v>
      </c>
      <c r="AH222" t="s">
        <v>646</v>
      </c>
      <c r="AL222" t="s">
        <v>985</v>
      </c>
      <c r="AP222" t="s">
        <v>986</v>
      </c>
    </row>
    <row r="223" spans="1:74" x14ac:dyDescent="0.2">
      <c r="A223" t="s">
        <v>6684</v>
      </c>
      <c r="B223" t="s">
        <v>6657</v>
      </c>
      <c r="C223" t="s">
        <v>4641</v>
      </c>
      <c r="D223" t="s">
        <v>477</v>
      </c>
      <c r="E223">
        <v>2017</v>
      </c>
      <c r="F223" t="s">
        <v>4642</v>
      </c>
      <c r="G223" s="6" t="s">
        <v>4643</v>
      </c>
      <c r="H223" t="s">
        <v>4644</v>
      </c>
      <c r="I223" t="s">
        <v>4645</v>
      </c>
      <c r="K223" t="s">
        <v>4646</v>
      </c>
      <c r="L223" t="s">
        <v>4647</v>
      </c>
      <c r="M223" t="s">
        <v>4648</v>
      </c>
      <c r="N223">
        <v>2017</v>
      </c>
      <c r="O223" s="1">
        <v>45783.306377314817</v>
      </c>
      <c r="P223" s="1">
        <v>45783.306377314817</v>
      </c>
      <c r="R223" t="s">
        <v>4649</v>
      </c>
      <c r="Y223" t="s">
        <v>4650</v>
      </c>
      <c r="AC223" t="s">
        <v>1167</v>
      </c>
      <c r="AD223" t="s">
        <v>3218</v>
      </c>
      <c r="AL223" t="s">
        <v>4651</v>
      </c>
      <c r="AP223" t="s">
        <v>4652</v>
      </c>
    </row>
    <row r="224" spans="1:74" x14ac:dyDescent="0.2">
      <c r="A224" t="s">
        <v>6684</v>
      </c>
      <c r="B224" t="s">
        <v>7035</v>
      </c>
      <c r="C224" t="s">
        <v>806</v>
      </c>
      <c r="D224" t="s">
        <v>102</v>
      </c>
      <c r="E224">
        <v>2023</v>
      </c>
      <c r="F224" t="s">
        <v>807</v>
      </c>
      <c r="G224" s="6" t="s">
        <v>808</v>
      </c>
      <c r="H224" t="s">
        <v>809</v>
      </c>
      <c r="J224" t="s">
        <v>810</v>
      </c>
      <c r="K224" t="s">
        <v>811</v>
      </c>
      <c r="L224" t="s">
        <v>812</v>
      </c>
      <c r="M224" t="s">
        <v>813</v>
      </c>
      <c r="N224">
        <v>2023</v>
      </c>
      <c r="O224" s="1">
        <v>45783.300150462965</v>
      </c>
      <c r="P224" s="1">
        <v>45783.300150462965</v>
      </c>
      <c r="U224">
        <v>174</v>
      </c>
      <c r="W224" t="s">
        <v>814</v>
      </c>
      <c r="AE224" t="s">
        <v>645</v>
      </c>
      <c r="AH224" t="s">
        <v>646</v>
      </c>
      <c r="AL224" t="s">
        <v>815</v>
      </c>
      <c r="AP224" t="s">
        <v>816</v>
      </c>
    </row>
    <row r="225" spans="1:74" x14ac:dyDescent="0.2">
      <c r="A225" t="s">
        <v>7034</v>
      </c>
      <c r="B225" t="s">
        <v>6656</v>
      </c>
      <c r="C225" t="s">
        <v>5529</v>
      </c>
      <c r="D225" t="s">
        <v>477</v>
      </c>
      <c r="E225">
        <v>2025</v>
      </c>
      <c r="F225" t="s">
        <v>5530</v>
      </c>
      <c r="G225" s="6" t="s">
        <v>5531</v>
      </c>
      <c r="H225" t="s">
        <v>5532</v>
      </c>
      <c r="I225" t="s">
        <v>5533</v>
      </c>
      <c r="K225" t="s">
        <v>5534</v>
      </c>
      <c r="L225" t="s">
        <v>5535</v>
      </c>
      <c r="N225" s="2">
        <v>45684</v>
      </c>
      <c r="O225" s="1">
        <v>45783.311550925922</v>
      </c>
      <c r="P225" s="1">
        <v>45783.311550925922</v>
      </c>
      <c r="Q225" s="1">
        <v>45783.311550925922</v>
      </c>
      <c r="R225" t="s">
        <v>5536</v>
      </c>
      <c r="X225" t="s">
        <v>5537</v>
      </c>
      <c r="AC225" t="s">
        <v>5107</v>
      </c>
      <c r="AD225" t="s">
        <v>5404</v>
      </c>
      <c r="AF225" t="s">
        <v>5109</v>
      </c>
      <c r="AJ225" t="s">
        <v>98</v>
      </c>
      <c r="BV225" t="s">
        <v>5532</v>
      </c>
    </row>
    <row r="226" spans="1:74" x14ac:dyDescent="0.2">
      <c r="A226" t="s">
        <v>7034</v>
      </c>
      <c r="B226" t="s">
        <v>7047</v>
      </c>
      <c r="C226" t="s">
        <v>708</v>
      </c>
      <c r="D226" t="s">
        <v>102</v>
      </c>
      <c r="E226">
        <v>2025</v>
      </c>
      <c r="F226" t="s">
        <v>709</v>
      </c>
      <c r="G226" s="6" t="s">
        <v>710</v>
      </c>
      <c r="H226" t="s">
        <v>711</v>
      </c>
      <c r="J226" t="s">
        <v>712</v>
      </c>
      <c r="K226" t="s">
        <v>713</v>
      </c>
      <c r="L226" t="s">
        <v>714</v>
      </c>
      <c r="M226" t="s">
        <v>715</v>
      </c>
      <c r="N226">
        <v>2025</v>
      </c>
      <c r="O226" s="1">
        <v>45783.300138888888</v>
      </c>
      <c r="P226" s="1">
        <v>45783.300138888888</v>
      </c>
      <c r="U226">
        <v>175</v>
      </c>
      <c r="W226" t="s">
        <v>716</v>
      </c>
      <c r="AE226" t="s">
        <v>645</v>
      </c>
      <c r="AH226" t="s">
        <v>646</v>
      </c>
      <c r="AL226" t="s">
        <v>717</v>
      </c>
      <c r="AP226" t="s">
        <v>718</v>
      </c>
    </row>
    <row r="227" spans="1:74" x14ac:dyDescent="0.2">
      <c r="A227" t="s">
        <v>6684</v>
      </c>
      <c r="B227" t="s">
        <v>7035</v>
      </c>
      <c r="C227" t="s">
        <v>4123</v>
      </c>
      <c r="D227" t="s">
        <v>102</v>
      </c>
      <c r="E227">
        <v>2025</v>
      </c>
      <c r="F227" t="s">
        <v>4124</v>
      </c>
      <c r="G227" s="6" t="s">
        <v>4125</v>
      </c>
      <c r="H227" t="s">
        <v>877</v>
      </c>
      <c r="J227" t="s">
        <v>3279</v>
      </c>
      <c r="K227" t="s">
        <v>4126</v>
      </c>
      <c r="L227" t="s">
        <v>4127</v>
      </c>
      <c r="N227" t="s">
        <v>3756</v>
      </c>
      <c r="O227" s="1">
        <v>45783.306377314817</v>
      </c>
      <c r="P227" s="1">
        <v>45783.41170138889</v>
      </c>
      <c r="T227" t="s">
        <v>3283</v>
      </c>
      <c r="U227">
        <v>193</v>
      </c>
      <c r="W227" t="s">
        <v>882</v>
      </c>
      <c r="AL227" t="s">
        <v>3284</v>
      </c>
      <c r="AP227" t="s">
        <v>4128</v>
      </c>
    </row>
    <row r="228" spans="1:74" x14ac:dyDescent="0.2">
      <c r="A228" t="s">
        <v>6684</v>
      </c>
      <c r="B228" t="s">
        <v>7036</v>
      </c>
      <c r="C228" t="s">
        <v>4592</v>
      </c>
      <c r="D228" t="s">
        <v>102</v>
      </c>
      <c r="E228">
        <v>2018</v>
      </c>
      <c r="F228" t="s">
        <v>4593</v>
      </c>
      <c r="G228" s="6" t="s">
        <v>4594</v>
      </c>
      <c r="H228" t="s">
        <v>2187</v>
      </c>
      <c r="J228" t="s">
        <v>4060</v>
      </c>
      <c r="K228" t="s">
        <v>4595</v>
      </c>
      <c r="L228" t="s">
        <v>4596</v>
      </c>
      <c r="N228" t="s">
        <v>4597</v>
      </c>
      <c r="O228" s="1">
        <v>45783.306377314817</v>
      </c>
      <c r="P228" s="1">
        <v>45783.306377314817</v>
      </c>
      <c r="R228" t="s">
        <v>4598</v>
      </c>
      <c r="T228" t="s">
        <v>3283</v>
      </c>
      <c r="U228">
        <v>126</v>
      </c>
      <c r="AL228" t="s">
        <v>3648</v>
      </c>
      <c r="AP228" t="s">
        <v>4599</v>
      </c>
    </row>
    <row r="229" spans="1:74" x14ac:dyDescent="0.2">
      <c r="A229" t="s">
        <v>6684</v>
      </c>
      <c r="B229" t="s">
        <v>7035</v>
      </c>
      <c r="C229" t="s">
        <v>864</v>
      </c>
      <c r="D229" t="s">
        <v>102</v>
      </c>
      <c r="E229">
        <v>2024</v>
      </c>
      <c r="F229" t="s">
        <v>865</v>
      </c>
      <c r="G229" s="6" t="s">
        <v>866</v>
      </c>
      <c r="H229" t="s">
        <v>867</v>
      </c>
      <c r="J229" t="s">
        <v>868</v>
      </c>
      <c r="K229" t="s">
        <v>869</v>
      </c>
      <c r="L229" t="s">
        <v>870</v>
      </c>
      <c r="M229" t="s">
        <v>871</v>
      </c>
      <c r="N229">
        <v>2024</v>
      </c>
      <c r="O229" s="1">
        <v>45783.300150462965</v>
      </c>
      <c r="P229" s="1">
        <v>45783.300150462965</v>
      </c>
      <c r="U229">
        <v>2024</v>
      </c>
      <c r="W229" t="s">
        <v>872</v>
      </c>
      <c r="AE229" t="s">
        <v>645</v>
      </c>
      <c r="AH229" t="s">
        <v>646</v>
      </c>
      <c r="AL229" t="s">
        <v>873</v>
      </c>
    </row>
    <row r="230" spans="1:74" x14ac:dyDescent="0.2">
      <c r="A230" t="s">
        <v>7034</v>
      </c>
      <c r="B230" t="s">
        <v>7049</v>
      </c>
      <c r="C230" t="s">
        <v>945</v>
      </c>
      <c r="D230" t="s">
        <v>102</v>
      </c>
      <c r="E230">
        <v>2025</v>
      </c>
      <c r="F230" t="s">
        <v>946</v>
      </c>
      <c r="G230" s="6" t="s">
        <v>947</v>
      </c>
      <c r="H230" t="s">
        <v>948</v>
      </c>
      <c r="J230" t="s">
        <v>949</v>
      </c>
      <c r="K230" t="s">
        <v>950</v>
      </c>
      <c r="L230" t="s">
        <v>951</v>
      </c>
      <c r="M230" t="s">
        <v>952</v>
      </c>
      <c r="N230">
        <v>2025</v>
      </c>
      <c r="O230" s="1">
        <v>45783.300150462965</v>
      </c>
      <c r="P230" s="1">
        <v>45783.300150462965</v>
      </c>
      <c r="U230">
        <v>92</v>
      </c>
      <c r="W230" t="s">
        <v>953</v>
      </c>
      <c r="AE230" t="s">
        <v>645</v>
      </c>
      <c r="AH230" t="s">
        <v>646</v>
      </c>
      <c r="AL230" t="s">
        <v>706</v>
      </c>
      <c r="AP230" t="s">
        <v>954</v>
      </c>
    </row>
    <row r="231" spans="1:74" x14ac:dyDescent="0.2">
      <c r="A231" t="s">
        <v>6684</v>
      </c>
      <c r="B231" t="s">
        <v>7055</v>
      </c>
      <c r="C231" t="s">
        <v>3591</v>
      </c>
      <c r="D231" t="s">
        <v>477</v>
      </c>
      <c r="E231">
        <v>2018</v>
      </c>
      <c r="F231" t="s">
        <v>3592</v>
      </c>
      <c r="G231" s="6" t="s">
        <v>3593</v>
      </c>
      <c r="H231" t="s">
        <v>3594</v>
      </c>
      <c r="I231" t="s">
        <v>3595</v>
      </c>
      <c r="K231" t="s">
        <v>3596</v>
      </c>
      <c r="L231" t="s">
        <v>3597</v>
      </c>
      <c r="M231" t="s">
        <v>3598</v>
      </c>
      <c r="N231">
        <v>2018</v>
      </c>
      <c r="O231" s="1">
        <v>45783.30636574074</v>
      </c>
      <c r="P231" s="1">
        <v>45783.30636574074</v>
      </c>
      <c r="R231" t="s">
        <v>3599</v>
      </c>
      <c r="Y231" t="s">
        <v>3600</v>
      </c>
      <c r="AC231" t="s">
        <v>1167</v>
      </c>
      <c r="AD231" t="s">
        <v>3218</v>
      </c>
      <c r="AL231" t="s">
        <v>3601</v>
      </c>
      <c r="AP231" t="s">
        <v>3602</v>
      </c>
    </row>
    <row r="232" spans="1:74" x14ac:dyDescent="0.2">
      <c r="A232" t="s">
        <v>6684</v>
      </c>
      <c r="B232" t="s">
        <v>7035</v>
      </c>
      <c r="C232" t="s">
        <v>4170</v>
      </c>
      <c r="D232" t="s">
        <v>477</v>
      </c>
      <c r="E232">
        <v>2020</v>
      </c>
      <c r="F232" t="s">
        <v>4171</v>
      </c>
      <c r="G232" s="6" t="s">
        <v>4172</v>
      </c>
      <c r="H232" t="s">
        <v>4173</v>
      </c>
      <c r="I232" t="s">
        <v>4174</v>
      </c>
      <c r="K232" t="s">
        <v>4175</v>
      </c>
      <c r="L232" t="s">
        <v>4176</v>
      </c>
      <c r="M232" t="s">
        <v>4177</v>
      </c>
      <c r="N232">
        <v>2020</v>
      </c>
      <c r="O232" s="1">
        <v>45783.306377314817</v>
      </c>
      <c r="P232" s="1">
        <v>45783.306377314817</v>
      </c>
      <c r="Y232" t="s">
        <v>4178</v>
      </c>
      <c r="AC232" t="s">
        <v>1167</v>
      </c>
      <c r="AD232" t="s">
        <v>3218</v>
      </c>
      <c r="AL232" t="s">
        <v>4179</v>
      </c>
      <c r="AP232" t="s">
        <v>4180</v>
      </c>
    </row>
    <row r="233" spans="1:74" x14ac:dyDescent="0.2">
      <c r="A233" t="s">
        <v>6684</v>
      </c>
      <c r="B233" t="s">
        <v>7055</v>
      </c>
      <c r="C233" t="s">
        <v>5493</v>
      </c>
      <c r="D233" t="s">
        <v>477</v>
      </c>
      <c r="E233">
        <v>2015</v>
      </c>
      <c r="F233" t="s">
        <v>3616</v>
      </c>
      <c r="G233" s="6" t="s">
        <v>5494</v>
      </c>
      <c r="H233" t="s">
        <v>5495</v>
      </c>
      <c r="I233" t="s">
        <v>5496</v>
      </c>
      <c r="K233" t="s">
        <v>5497</v>
      </c>
      <c r="L233" t="s">
        <v>5498</v>
      </c>
      <c r="N233" t="s">
        <v>5499</v>
      </c>
      <c r="O233" s="1">
        <v>45783.311481481483</v>
      </c>
      <c r="P233" s="1">
        <v>45783.311481481483</v>
      </c>
      <c r="Q233" s="1">
        <v>45783.311481481483</v>
      </c>
      <c r="R233" s="3">
        <v>45748</v>
      </c>
      <c r="AC233" t="s">
        <v>5107</v>
      </c>
      <c r="AD233" t="s">
        <v>5500</v>
      </c>
      <c r="AJ233" t="s">
        <v>98</v>
      </c>
      <c r="BV233" t="s">
        <v>5495</v>
      </c>
    </row>
    <row r="234" spans="1:74" x14ac:dyDescent="0.2">
      <c r="A234" t="s">
        <v>6684</v>
      </c>
      <c r="B234" t="s">
        <v>7035</v>
      </c>
      <c r="C234" t="s">
        <v>3615</v>
      </c>
      <c r="D234" t="s">
        <v>477</v>
      </c>
      <c r="E234">
        <v>2014</v>
      </c>
      <c r="F234" t="s">
        <v>3616</v>
      </c>
      <c r="G234" s="6" t="s">
        <v>3617</v>
      </c>
      <c r="H234" t="s">
        <v>3618</v>
      </c>
      <c r="I234" t="s">
        <v>3619</v>
      </c>
      <c r="K234" t="s">
        <v>3620</v>
      </c>
      <c r="L234" t="s">
        <v>3621</v>
      </c>
      <c r="M234" t="s">
        <v>3622</v>
      </c>
      <c r="N234">
        <v>2014</v>
      </c>
      <c r="O234" s="1">
        <v>45783.30636574074</v>
      </c>
      <c r="P234" s="1">
        <v>45783.30636574074</v>
      </c>
      <c r="R234" t="s">
        <v>3623</v>
      </c>
      <c r="Y234" t="s">
        <v>3624</v>
      </c>
      <c r="AC234" t="s">
        <v>1167</v>
      </c>
      <c r="AD234" t="s">
        <v>3218</v>
      </c>
      <c r="AL234" t="s">
        <v>3625</v>
      </c>
      <c r="AP234" t="s">
        <v>3626</v>
      </c>
    </row>
    <row r="235" spans="1:74" x14ac:dyDescent="0.2">
      <c r="A235" t="s">
        <v>6684</v>
      </c>
      <c r="B235" t="s">
        <v>6653</v>
      </c>
      <c r="C235" t="s">
        <v>5969</v>
      </c>
      <c r="D235" t="s">
        <v>477</v>
      </c>
      <c r="E235">
        <v>2014</v>
      </c>
      <c r="F235" t="s">
        <v>5970</v>
      </c>
      <c r="G235" s="6" t="s">
        <v>5971</v>
      </c>
      <c r="H235" t="s">
        <v>5972</v>
      </c>
      <c r="I235" t="s">
        <v>5973</v>
      </c>
      <c r="K235" t="s">
        <v>5974</v>
      </c>
      <c r="L235" t="s">
        <v>5975</v>
      </c>
      <c r="N235" t="s">
        <v>5976</v>
      </c>
      <c r="O235" s="1">
        <v>45783.312199074076</v>
      </c>
      <c r="P235" s="1">
        <v>45783.312199074076</v>
      </c>
      <c r="Q235" s="1">
        <v>45783.312199074076</v>
      </c>
      <c r="R235" t="s">
        <v>5977</v>
      </c>
      <c r="X235" t="s">
        <v>5978</v>
      </c>
      <c r="AC235" t="s">
        <v>5107</v>
      </c>
      <c r="AD235" t="s">
        <v>5924</v>
      </c>
      <c r="AJ235" t="s">
        <v>98</v>
      </c>
      <c r="BV235" t="s">
        <v>5972</v>
      </c>
    </row>
    <row r="236" spans="1:74" x14ac:dyDescent="0.2">
      <c r="A236" t="s">
        <v>6684</v>
      </c>
      <c r="B236" t="s">
        <v>7035</v>
      </c>
      <c r="C236" t="s">
        <v>5901</v>
      </c>
      <c r="D236" t="s">
        <v>477</v>
      </c>
      <c r="E236">
        <v>2020</v>
      </c>
      <c r="F236" t="s">
        <v>5902</v>
      </c>
      <c r="G236" s="6" t="s">
        <v>5903</v>
      </c>
      <c r="H236" t="s">
        <v>5904</v>
      </c>
      <c r="I236" t="s">
        <v>5905</v>
      </c>
      <c r="K236" t="s">
        <v>5906</v>
      </c>
      <c r="L236" t="s">
        <v>5907</v>
      </c>
      <c r="N236" s="2">
        <v>44179</v>
      </c>
      <c r="O236" s="1">
        <v>45783.312048611115</v>
      </c>
      <c r="P236" s="1">
        <v>45783.312048611115</v>
      </c>
      <c r="Q236" s="1">
        <v>45783.312048611115</v>
      </c>
      <c r="R236" s="3">
        <v>45778</v>
      </c>
      <c r="AC236" t="s">
        <v>5107</v>
      </c>
      <c r="AD236" t="s">
        <v>5128</v>
      </c>
      <c r="AF236" t="s">
        <v>5140</v>
      </c>
      <c r="AJ236" t="s">
        <v>98</v>
      </c>
      <c r="BV236" t="s">
        <v>5904</v>
      </c>
    </row>
    <row r="237" spans="1:74" x14ac:dyDescent="0.2">
      <c r="A237" t="s">
        <v>7034</v>
      </c>
      <c r="B237" t="s">
        <v>7047</v>
      </c>
      <c r="C237" t="s">
        <v>4631</v>
      </c>
      <c r="D237" t="s">
        <v>477</v>
      </c>
      <c r="E237">
        <v>2023</v>
      </c>
      <c r="F237" t="s">
        <v>4632</v>
      </c>
      <c r="G237" s="6" t="s">
        <v>4633</v>
      </c>
      <c r="H237" t="s">
        <v>4634</v>
      </c>
      <c r="I237" t="s">
        <v>4635</v>
      </c>
      <c r="K237" t="s">
        <v>4636</v>
      </c>
      <c r="L237" t="s">
        <v>4637</v>
      </c>
      <c r="M237" t="s">
        <v>4638</v>
      </c>
      <c r="N237">
        <v>2023</v>
      </c>
      <c r="O237" s="1">
        <v>45783.306377314817</v>
      </c>
      <c r="P237" s="1">
        <v>45783.306377314817</v>
      </c>
      <c r="R237" t="s">
        <v>4639</v>
      </c>
      <c r="AC237" t="s">
        <v>3194</v>
      </c>
      <c r="AD237" t="s">
        <v>589</v>
      </c>
      <c r="AL237" t="s">
        <v>3206</v>
      </c>
      <c r="AP237" t="s">
        <v>4640</v>
      </c>
    </row>
    <row r="238" spans="1:74" x14ac:dyDescent="0.2">
      <c r="A238" t="s">
        <v>6684</v>
      </c>
      <c r="B238" t="s">
        <v>6657</v>
      </c>
      <c r="C238" t="s">
        <v>1611</v>
      </c>
      <c r="D238" t="s">
        <v>477</v>
      </c>
      <c r="E238">
        <v>2022</v>
      </c>
      <c r="F238" t="s">
        <v>1612</v>
      </c>
      <c r="G238" s="6" t="s">
        <v>1613</v>
      </c>
      <c r="H238" t="s">
        <v>854</v>
      </c>
      <c r="I238" t="s">
        <v>855</v>
      </c>
      <c r="K238" t="s">
        <v>1614</v>
      </c>
      <c r="L238" t="s">
        <v>1615</v>
      </c>
      <c r="M238" t="s">
        <v>1616</v>
      </c>
      <c r="N238">
        <v>2022</v>
      </c>
      <c r="O238" s="1">
        <v>45783.300150462965</v>
      </c>
      <c r="P238" s="1">
        <v>45783.300150462965</v>
      </c>
      <c r="R238" t="s">
        <v>1617</v>
      </c>
      <c r="U238">
        <v>112</v>
      </c>
      <c r="AC238" t="s">
        <v>860</v>
      </c>
      <c r="AE238" t="s">
        <v>645</v>
      </c>
      <c r="AH238" t="s">
        <v>646</v>
      </c>
      <c r="AL238" t="s">
        <v>861</v>
      </c>
      <c r="AP238" t="s">
        <v>1618</v>
      </c>
      <c r="AR238" t="s">
        <v>1619</v>
      </c>
      <c r="BV238" t="s">
        <v>854</v>
      </c>
    </row>
    <row r="239" spans="1:74" x14ac:dyDescent="0.2">
      <c r="A239" t="s">
        <v>6684</v>
      </c>
      <c r="B239" t="s">
        <v>7036</v>
      </c>
      <c r="C239" t="s">
        <v>6165</v>
      </c>
      <c r="D239" t="s">
        <v>477</v>
      </c>
      <c r="E239">
        <v>2020</v>
      </c>
      <c r="F239" t="s">
        <v>6166</v>
      </c>
      <c r="G239" s="6" t="s">
        <v>6167</v>
      </c>
      <c r="H239" t="s">
        <v>5717</v>
      </c>
      <c r="I239" t="s">
        <v>5718</v>
      </c>
      <c r="K239" t="s">
        <v>6168</v>
      </c>
      <c r="L239" t="s">
        <v>6169</v>
      </c>
      <c r="N239" t="s">
        <v>5150</v>
      </c>
      <c r="O239" s="1">
        <v>45783.312847222223</v>
      </c>
      <c r="P239" s="1">
        <v>45783.312847222223</v>
      </c>
      <c r="Q239" s="1">
        <v>45783.312847222223</v>
      </c>
      <c r="R239" t="s">
        <v>6170</v>
      </c>
      <c r="AC239" t="s">
        <v>5107</v>
      </c>
      <c r="AD239" t="s">
        <v>5152</v>
      </c>
      <c r="AF239" t="s">
        <v>5109</v>
      </c>
      <c r="AJ239" t="s">
        <v>98</v>
      </c>
      <c r="BV239" t="s">
        <v>5717</v>
      </c>
    </row>
    <row r="240" spans="1:74" x14ac:dyDescent="0.2">
      <c r="A240" t="s">
        <v>7034</v>
      </c>
      <c r="B240" t="s">
        <v>6656</v>
      </c>
      <c r="C240" t="s">
        <v>6132</v>
      </c>
      <c r="D240" t="s">
        <v>102</v>
      </c>
      <c r="E240">
        <v>2021</v>
      </c>
      <c r="F240" t="s">
        <v>6133</v>
      </c>
      <c r="G240" s="6" t="s">
        <v>6134</v>
      </c>
      <c r="H240" t="s">
        <v>6114</v>
      </c>
      <c r="J240" t="s">
        <v>6115</v>
      </c>
      <c r="K240" t="s">
        <v>6135</v>
      </c>
      <c r="L240" t="s">
        <v>6136</v>
      </c>
      <c r="N240">
        <v>2021</v>
      </c>
      <c r="O240" s="1">
        <v>45783.312592592592</v>
      </c>
      <c r="P240" s="1">
        <v>45783.312592592592</v>
      </c>
      <c r="Q240" s="1">
        <v>45783.312592592592</v>
      </c>
      <c r="R240" t="s">
        <v>6137</v>
      </c>
      <c r="U240">
        <v>9</v>
      </c>
      <c r="W240" t="s">
        <v>6114</v>
      </c>
      <c r="AF240" t="s">
        <v>6120</v>
      </c>
      <c r="AJ240" t="s">
        <v>98</v>
      </c>
      <c r="AN240" t="s">
        <v>6138</v>
      </c>
    </row>
    <row r="241" spans="1:74" x14ac:dyDescent="0.2">
      <c r="A241" t="s">
        <v>6684</v>
      </c>
      <c r="B241" t="s">
        <v>6685</v>
      </c>
      <c r="C241" t="s">
        <v>1331</v>
      </c>
      <c r="D241" t="s">
        <v>102</v>
      </c>
      <c r="E241">
        <v>2023</v>
      </c>
      <c r="F241" t="s">
        <v>1332</v>
      </c>
      <c r="G241" s="6" t="s">
        <v>1333</v>
      </c>
      <c r="H241" t="s">
        <v>1334</v>
      </c>
      <c r="J241" t="s">
        <v>1335</v>
      </c>
      <c r="K241" t="s">
        <v>1336</v>
      </c>
      <c r="L241" t="s">
        <v>1337</v>
      </c>
      <c r="M241" t="s">
        <v>1338</v>
      </c>
      <c r="N241">
        <v>2023</v>
      </c>
      <c r="O241" s="1">
        <v>45783.300150462965</v>
      </c>
      <c r="P241" s="1">
        <v>45783.300150462965</v>
      </c>
      <c r="T241">
        <v>3</v>
      </c>
      <c r="U241">
        <v>16</v>
      </c>
      <c r="W241" t="s">
        <v>1339</v>
      </c>
      <c r="AE241" t="s">
        <v>645</v>
      </c>
      <c r="AH241" t="s">
        <v>646</v>
      </c>
      <c r="AL241" t="s">
        <v>1340</v>
      </c>
      <c r="AP241" t="s">
        <v>1341</v>
      </c>
    </row>
    <row r="242" spans="1:74" x14ac:dyDescent="0.2">
      <c r="A242" t="s">
        <v>7034</v>
      </c>
      <c r="B242" t="s">
        <v>7054</v>
      </c>
      <c r="C242" t="s">
        <v>372</v>
      </c>
      <c r="D242" t="s">
        <v>88</v>
      </c>
      <c r="E242">
        <v>2023</v>
      </c>
      <c r="F242" t="s">
        <v>373</v>
      </c>
      <c r="G242" s="6" t="s">
        <v>374</v>
      </c>
      <c r="H242" t="s">
        <v>375</v>
      </c>
      <c r="I242" t="s">
        <v>376</v>
      </c>
      <c r="L242" t="s">
        <v>377</v>
      </c>
      <c r="N242">
        <v>2023</v>
      </c>
      <c r="O242" s="1">
        <v>45783.293321759258</v>
      </c>
      <c r="P242" s="1">
        <v>45783.293321759258</v>
      </c>
      <c r="Q242" s="1">
        <v>45783.293321759258</v>
      </c>
      <c r="R242" t="s">
        <v>378</v>
      </c>
      <c r="U242">
        <v>618</v>
      </c>
      <c r="AC242" t="s">
        <v>211</v>
      </c>
      <c r="AD242" t="s">
        <v>212</v>
      </c>
      <c r="AE242" t="s">
        <v>97</v>
      </c>
      <c r="AJ242" t="s">
        <v>98</v>
      </c>
      <c r="AL242" t="s">
        <v>379</v>
      </c>
      <c r="AR242" t="s">
        <v>380</v>
      </c>
    </row>
    <row r="243" spans="1:74" x14ac:dyDescent="0.2">
      <c r="A243" t="s">
        <v>6684</v>
      </c>
      <c r="B243" t="s">
        <v>7035</v>
      </c>
      <c r="C243" t="s">
        <v>4294</v>
      </c>
      <c r="D243" t="s">
        <v>477</v>
      </c>
      <c r="E243">
        <v>2023</v>
      </c>
      <c r="F243" t="s">
        <v>4295</v>
      </c>
      <c r="G243" s="6" t="s">
        <v>4296</v>
      </c>
      <c r="H243" t="s">
        <v>4297</v>
      </c>
      <c r="I243" t="s">
        <v>4298</v>
      </c>
      <c r="K243" t="s">
        <v>4299</v>
      </c>
      <c r="L243" t="s">
        <v>4300</v>
      </c>
      <c r="M243" t="s">
        <v>4301</v>
      </c>
      <c r="N243">
        <v>2023</v>
      </c>
      <c r="O243" s="1">
        <v>45783.306377314817</v>
      </c>
      <c r="P243" s="1">
        <v>45783.306377314817</v>
      </c>
      <c r="R243" t="s">
        <v>4302</v>
      </c>
      <c r="Y243" t="s">
        <v>4303</v>
      </c>
      <c r="AC243" t="s">
        <v>1167</v>
      </c>
      <c r="AD243" t="s">
        <v>3218</v>
      </c>
      <c r="AL243" t="s">
        <v>4304</v>
      </c>
      <c r="AP243" t="s">
        <v>4305</v>
      </c>
    </row>
    <row r="244" spans="1:74" x14ac:dyDescent="0.2">
      <c r="A244" t="s">
        <v>6684</v>
      </c>
      <c r="B244" t="s">
        <v>7035</v>
      </c>
      <c r="C244" t="s">
        <v>6533</v>
      </c>
      <c r="D244" t="s">
        <v>477</v>
      </c>
      <c r="E244">
        <v>2022</v>
      </c>
      <c r="F244" t="s">
        <v>6534</v>
      </c>
      <c r="G244" s="6" t="s">
        <v>6535</v>
      </c>
      <c r="H244" t="s">
        <v>6536</v>
      </c>
      <c r="I244" t="s">
        <v>6537</v>
      </c>
      <c r="K244" t="s">
        <v>6538</v>
      </c>
      <c r="L244" t="s">
        <v>6539</v>
      </c>
      <c r="N244" s="2">
        <v>44858</v>
      </c>
      <c r="O244" s="1">
        <v>45783.313726851855</v>
      </c>
      <c r="P244" s="1">
        <v>45783.369027777779</v>
      </c>
      <c r="Q244" s="1">
        <v>45783.313726851855</v>
      </c>
      <c r="R244" s="3">
        <v>45778</v>
      </c>
      <c r="X244" t="s">
        <v>6540</v>
      </c>
      <c r="AC244" t="s">
        <v>5107</v>
      </c>
      <c r="AD244" t="s">
        <v>6541</v>
      </c>
      <c r="AF244" t="s">
        <v>5109</v>
      </c>
      <c r="AJ244" t="s">
        <v>98</v>
      </c>
      <c r="AP244" t="s">
        <v>6542</v>
      </c>
      <c r="BV244" t="s">
        <v>6536</v>
      </c>
    </row>
    <row r="245" spans="1:74" x14ac:dyDescent="0.2">
      <c r="A245" t="s">
        <v>6684</v>
      </c>
      <c r="B245" t="s">
        <v>7035</v>
      </c>
      <c r="C245" t="s">
        <v>6081</v>
      </c>
      <c r="D245" t="s">
        <v>477</v>
      </c>
      <c r="E245">
        <v>2018</v>
      </c>
      <c r="F245" t="s">
        <v>6082</v>
      </c>
      <c r="G245" s="6" t="s">
        <v>6083</v>
      </c>
      <c r="H245" t="s">
        <v>5635</v>
      </c>
      <c r="I245" t="s">
        <v>5636</v>
      </c>
      <c r="K245" t="s">
        <v>6084</v>
      </c>
      <c r="L245" t="s">
        <v>6085</v>
      </c>
      <c r="N245" t="s">
        <v>5639</v>
      </c>
      <c r="O245" s="1">
        <v>45783.312384259261</v>
      </c>
      <c r="P245" s="1">
        <v>45783.312384259261</v>
      </c>
      <c r="Q245" s="1">
        <v>45783.312384259261</v>
      </c>
      <c r="R245" t="s">
        <v>6086</v>
      </c>
      <c r="X245" t="s">
        <v>6087</v>
      </c>
      <c r="AC245" t="s">
        <v>5107</v>
      </c>
      <c r="AD245" t="s">
        <v>5641</v>
      </c>
      <c r="AJ245" t="s">
        <v>98</v>
      </c>
      <c r="BV245" t="s">
        <v>5635</v>
      </c>
    </row>
    <row r="246" spans="1:74" x14ac:dyDescent="0.2">
      <c r="A246" t="s">
        <v>6684</v>
      </c>
      <c r="B246" t="s">
        <v>6657</v>
      </c>
      <c r="C246" t="s">
        <v>2653</v>
      </c>
      <c r="D246" t="s">
        <v>477</v>
      </c>
      <c r="E246">
        <v>2014</v>
      </c>
      <c r="F246" t="s">
        <v>2654</v>
      </c>
      <c r="G246" s="6" t="s">
        <v>2655</v>
      </c>
      <c r="H246" t="s">
        <v>2656</v>
      </c>
      <c r="I246" t="s">
        <v>2657</v>
      </c>
      <c r="K246" t="s">
        <v>2658</v>
      </c>
      <c r="L246" t="s">
        <v>2659</v>
      </c>
      <c r="M246" t="s">
        <v>2660</v>
      </c>
      <c r="N246">
        <v>2014</v>
      </c>
      <c r="O246" s="1">
        <v>45783.300162037034</v>
      </c>
      <c r="P246" s="1">
        <v>45783.300162037034</v>
      </c>
      <c r="R246" t="s">
        <v>2661</v>
      </c>
      <c r="U246">
        <v>96</v>
      </c>
      <c r="AC246" t="s">
        <v>2662</v>
      </c>
      <c r="AE246" t="s">
        <v>645</v>
      </c>
      <c r="AH246" t="s">
        <v>646</v>
      </c>
      <c r="AL246" t="s">
        <v>2663</v>
      </c>
      <c r="AP246" t="s">
        <v>2664</v>
      </c>
      <c r="BV246" t="s">
        <v>2665</v>
      </c>
    </row>
    <row r="247" spans="1:74" x14ac:dyDescent="0.2">
      <c r="A247" t="s">
        <v>6684</v>
      </c>
      <c r="B247" t="s">
        <v>7035</v>
      </c>
      <c r="C247" t="s">
        <v>5750</v>
      </c>
      <c r="D247" t="s">
        <v>477</v>
      </c>
      <c r="E247">
        <v>2022</v>
      </c>
      <c r="F247" t="s">
        <v>5751</v>
      </c>
      <c r="G247" s="6" t="s">
        <v>5752</v>
      </c>
      <c r="H247" t="s">
        <v>5753</v>
      </c>
      <c r="I247" t="s">
        <v>5754</v>
      </c>
      <c r="K247" t="s">
        <v>5755</v>
      </c>
      <c r="L247" t="s">
        <v>5756</v>
      </c>
      <c r="N247" s="2">
        <v>44868</v>
      </c>
      <c r="O247" s="1">
        <v>45783.311874999999</v>
      </c>
      <c r="P247" s="1">
        <v>45784.288981481484</v>
      </c>
      <c r="Q247" s="1">
        <v>45783.311874999999</v>
      </c>
      <c r="R247" s="3">
        <v>45809</v>
      </c>
      <c r="AC247" t="s">
        <v>5107</v>
      </c>
      <c r="AD247" t="s">
        <v>5757</v>
      </c>
      <c r="AF247" t="s">
        <v>5109</v>
      </c>
      <c r="AJ247" t="s">
        <v>98</v>
      </c>
      <c r="AP247" t="s">
        <v>5758</v>
      </c>
      <c r="BV247" t="s">
        <v>5753</v>
      </c>
    </row>
    <row r="248" spans="1:74" x14ac:dyDescent="0.2">
      <c r="A248" t="s">
        <v>6684</v>
      </c>
      <c r="B248" t="s">
        <v>7035</v>
      </c>
      <c r="C248" t="s">
        <v>5667</v>
      </c>
      <c r="D248" t="s">
        <v>102</v>
      </c>
      <c r="E248">
        <v>2019</v>
      </c>
      <c r="F248" t="s">
        <v>5668</v>
      </c>
      <c r="G248" s="6" t="s">
        <v>5669</v>
      </c>
      <c r="H248" t="s">
        <v>3029</v>
      </c>
      <c r="J248" t="s">
        <v>5670</v>
      </c>
      <c r="K248" t="s">
        <v>5671</v>
      </c>
      <c r="L248" t="s">
        <v>5672</v>
      </c>
      <c r="N248" t="s">
        <v>4361</v>
      </c>
      <c r="O248" s="1">
        <v>45783.311724537038</v>
      </c>
      <c r="P248" s="1">
        <v>45783.311724537038</v>
      </c>
      <c r="Q248" s="1">
        <v>45783.311724537038</v>
      </c>
      <c r="R248" t="s">
        <v>5673</v>
      </c>
      <c r="T248">
        <v>5</v>
      </c>
      <c r="U248">
        <v>49</v>
      </c>
      <c r="W248" t="s">
        <v>5674</v>
      </c>
      <c r="X248" t="s">
        <v>5675</v>
      </c>
      <c r="AF248" t="s">
        <v>5140</v>
      </c>
      <c r="AJ248" t="s">
        <v>98</v>
      </c>
    </row>
    <row r="249" spans="1:74" x14ac:dyDescent="0.2">
      <c r="A249" t="s">
        <v>6684</v>
      </c>
      <c r="B249" t="s">
        <v>7035</v>
      </c>
      <c r="C249" t="s">
        <v>5916</v>
      </c>
      <c r="D249" t="s">
        <v>477</v>
      </c>
      <c r="E249">
        <v>2023</v>
      </c>
      <c r="F249" t="s">
        <v>5917</v>
      </c>
      <c r="G249" s="6" t="s">
        <v>5918</v>
      </c>
      <c r="H249" t="s">
        <v>5919</v>
      </c>
      <c r="I249" t="s">
        <v>5920</v>
      </c>
      <c r="K249" t="s">
        <v>5921</v>
      </c>
      <c r="L249" t="s">
        <v>5922</v>
      </c>
      <c r="N249" s="2">
        <v>45094</v>
      </c>
      <c r="O249" s="1">
        <v>45783.312071759261</v>
      </c>
      <c r="P249" s="1">
        <v>45783.312071759261</v>
      </c>
      <c r="Q249" s="1">
        <v>45783.312071759261</v>
      </c>
      <c r="R249" t="s">
        <v>5923</v>
      </c>
      <c r="AC249" t="s">
        <v>5107</v>
      </c>
      <c r="AD249" t="s">
        <v>5924</v>
      </c>
      <c r="AF249" t="s">
        <v>5109</v>
      </c>
      <c r="AJ249" t="s">
        <v>98</v>
      </c>
      <c r="BV249" t="s">
        <v>5919</v>
      </c>
    </row>
    <row r="250" spans="1:74" x14ac:dyDescent="0.2">
      <c r="A250" t="s">
        <v>6684</v>
      </c>
      <c r="B250" t="s">
        <v>7035</v>
      </c>
      <c r="C250" t="s">
        <v>6269</v>
      </c>
      <c r="D250" t="s">
        <v>102</v>
      </c>
      <c r="E250">
        <v>2025</v>
      </c>
      <c r="F250" t="s">
        <v>6270</v>
      </c>
      <c r="G250" s="6" t="s">
        <v>6271</v>
      </c>
      <c r="H250" t="s">
        <v>6114</v>
      </c>
      <c r="J250" t="s">
        <v>6115</v>
      </c>
      <c r="K250" t="s">
        <v>6272</v>
      </c>
      <c r="L250" t="s">
        <v>6273</v>
      </c>
      <c r="N250">
        <v>2025</v>
      </c>
      <c r="O250" s="1">
        <v>45783.313414351855</v>
      </c>
      <c r="P250" s="1">
        <v>45783.313414351855</v>
      </c>
      <c r="Q250" s="1">
        <v>45783.313414351855</v>
      </c>
      <c r="R250" t="s">
        <v>6274</v>
      </c>
      <c r="U250">
        <v>13</v>
      </c>
      <c r="W250" t="s">
        <v>6114</v>
      </c>
      <c r="X250" t="s">
        <v>6275</v>
      </c>
      <c r="AF250" t="s">
        <v>6120</v>
      </c>
      <c r="AJ250" t="s">
        <v>98</v>
      </c>
    </row>
    <row r="251" spans="1:74" x14ac:dyDescent="0.2">
      <c r="A251" t="s">
        <v>7034</v>
      </c>
      <c r="B251" t="s">
        <v>6661</v>
      </c>
      <c r="C251" t="s">
        <v>5806</v>
      </c>
      <c r="D251" t="s">
        <v>477</v>
      </c>
      <c r="E251">
        <v>2017</v>
      </c>
      <c r="F251" t="s">
        <v>5807</v>
      </c>
      <c r="G251" s="6" t="s">
        <v>5808</v>
      </c>
      <c r="H251" t="s">
        <v>5809</v>
      </c>
      <c r="I251" t="s">
        <v>5810</v>
      </c>
      <c r="K251" t="s">
        <v>5811</v>
      </c>
      <c r="L251" t="s">
        <v>5812</v>
      </c>
      <c r="N251" t="s">
        <v>5813</v>
      </c>
      <c r="O251" s="1">
        <v>45783.311932870369</v>
      </c>
      <c r="P251" s="1">
        <v>45783.311932870369</v>
      </c>
      <c r="Q251" s="1">
        <v>45783.311932870369</v>
      </c>
      <c r="R251" s="3">
        <v>45870</v>
      </c>
      <c r="AC251" t="s">
        <v>5107</v>
      </c>
      <c r="AD251" t="s">
        <v>5814</v>
      </c>
      <c r="AJ251" t="s">
        <v>98</v>
      </c>
      <c r="AN251" t="s">
        <v>5815</v>
      </c>
      <c r="BV251" t="s">
        <v>5809</v>
      </c>
    </row>
    <row r="252" spans="1:74" x14ac:dyDescent="0.2">
      <c r="A252" t="s">
        <v>6684</v>
      </c>
      <c r="B252" t="s">
        <v>7035</v>
      </c>
      <c r="C252" t="s">
        <v>1266</v>
      </c>
      <c r="D252" t="s">
        <v>477</v>
      </c>
      <c r="E252">
        <v>2024</v>
      </c>
      <c r="F252" t="s">
        <v>1267</v>
      </c>
      <c r="G252" s="6" t="s">
        <v>1268</v>
      </c>
      <c r="H252" t="s">
        <v>1269</v>
      </c>
      <c r="I252" t="s">
        <v>1270</v>
      </c>
      <c r="K252" t="s">
        <v>1271</v>
      </c>
      <c r="L252" t="s">
        <v>1272</v>
      </c>
      <c r="M252" t="s">
        <v>1273</v>
      </c>
      <c r="N252">
        <v>2024</v>
      </c>
      <c r="O252" s="1">
        <v>45783.300150462965</v>
      </c>
      <c r="P252" s="1">
        <v>45783.300150462965</v>
      </c>
      <c r="R252" t="s">
        <v>1274</v>
      </c>
      <c r="AC252" t="s">
        <v>801</v>
      </c>
      <c r="AE252" t="s">
        <v>645</v>
      </c>
      <c r="AH252" t="s">
        <v>646</v>
      </c>
      <c r="AL252" t="s">
        <v>1275</v>
      </c>
      <c r="AP252" t="s">
        <v>1276</v>
      </c>
      <c r="BV252" t="s">
        <v>1277</v>
      </c>
    </row>
    <row r="253" spans="1:74" x14ac:dyDescent="0.2">
      <c r="A253" t="s">
        <v>7034</v>
      </c>
      <c r="B253" t="s">
        <v>7039</v>
      </c>
      <c r="C253" t="s">
        <v>1074</v>
      </c>
      <c r="D253" t="s">
        <v>102</v>
      </c>
      <c r="E253">
        <v>2025</v>
      </c>
      <c r="F253" t="s">
        <v>1075</v>
      </c>
      <c r="G253" s="6" t="s">
        <v>1076</v>
      </c>
      <c r="H253" t="s">
        <v>1077</v>
      </c>
      <c r="J253" t="s">
        <v>1078</v>
      </c>
      <c r="K253" t="s">
        <v>1079</v>
      </c>
      <c r="L253" t="s">
        <v>1080</v>
      </c>
      <c r="M253" t="s">
        <v>1081</v>
      </c>
      <c r="N253">
        <v>2025</v>
      </c>
      <c r="O253" s="1">
        <v>45783.300150462965</v>
      </c>
      <c r="P253" s="1">
        <v>45783.300150462965</v>
      </c>
      <c r="W253" t="s">
        <v>1082</v>
      </c>
      <c r="AE253" t="s">
        <v>645</v>
      </c>
      <c r="AH253" t="s">
        <v>646</v>
      </c>
      <c r="AL253" t="s">
        <v>647</v>
      </c>
      <c r="AP253" t="s">
        <v>1083</v>
      </c>
    </row>
    <row r="254" spans="1:74" x14ac:dyDescent="0.2">
      <c r="A254" t="s">
        <v>6684</v>
      </c>
      <c r="B254" t="s">
        <v>7037</v>
      </c>
      <c r="C254" t="s">
        <v>2622</v>
      </c>
      <c r="D254" t="s">
        <v>477</v>
      </c>
      <c r="E254">
        <v>2012</v>
      </c>
      <c r="F254" t="s">
        <v>2623</v>
      </c>
      <c r="G254" s="6" t="s">
        <v>2624</v>
      </c>
      <c r="H254" t="s">
        <v>2625</v>
      </c>
      <c r="I254" t="s">
        <v>2626</v>
      </c>
      <c r="K254" t="s">
        <v>2627</v>
      </c>
      <c r="L254" t="s">
        <v>2628</v>
      </c>
      <c r="M254" t="s">
        <v>2629</v>
      </c>
      <c r="N254">
        <v>2012</v>
      </c>
      <c r="O254" s="1">
        <v>45783.300162037034</v>
      </c>
      <c r="P254" s="1">
        <v>45783.300162037034</v>
      </c>
      <c r="R254" t="s">
        <v>2369</v>
      </c>
      <c r="U254">
        <v>2</v>
      </c>
      <c r="AE254" t="s">
        <v>645</v>
      </c>
      <c r="AH254" t="s">
        <v>646</v>
      </c>
      <c r="AL254" t="s">
        <v>2630</v>
      </c>
      <c r="AP254" t="s">
        <v>2631</v>
      </c>
      <c r="BV254" t="s">
        <v>2632</v>
      </c>
    </row>
    <row r="255" spans="1:74" x14ac:dyDescent="0.2">
      <c r="A255" t="s">
        <v>6684</v>
      </c>
      <c r="B255" t="s">
        <v>7035</v>
      </c>
      <c r="C255" t="s">
        <v>6096</v>
      </c>
      <c r="D255" t="s">
        <v>477</v>
      </c>
      <c r="E255">
        <v>2019</v>
      </c>
      <c r="F255" t="s">
        <v>6097</v>
      </c>
      <c r="G255" s="6" t="s">
        <v>6098</v>
      </c>
      <c r="H255" t="s">
        <v>5550</v>
      </c>
      <c r="I255" t="s">
        <v>5551</v>
      </c>
      <c r="K255" t="s">
        <v>6099</v>
      </c>
      <c r="L255" t="s">
        <v>6100</v>
      </c>
      <c r="N255" t="s">
        <v>4089</v>
      </c>
      <c r="O255" s="1">
        <v>45783.312407407408</v>
      </c>
      <c r="P255" s="1">
        <v>45783.312407407408</v>
      </c>
      <c r="Q255" s="1">
        <v>45783.312407407408</v>
      </c>
      <c r="R255" t="s">
        <v>6101</v>
      </c>
      <c r="AC255" t="s">
        <v>5107</v>
      </c>
      <c r="AD255" t="s">
        <v>5555</v>
      </c>
      <c r="AF255" t="s">
        <v>5140</v>
      </c>
      <c r="AJ255" t="s">
        <v>98</v>
      </c>
      <c r="BV255" t="s">
        <v>5550</v>
      </c>
    </row>
    <row r="256" spans="1:74" x14ac:dyDescent="0.2">
      <c r="A256" t="s">
        <v>7034</v>
      </c>
      <c r="B256" t="s">
        <v>6658</v>
      </c>
      <c r="C256" t="s">
        <v>6312</v>
      </c>
      <c r="D256" t="s">
        <v>102</v>
      </c>
      <c r="E256">
        <v>2023</v>
      </c>
      <c r="F256" t="s">
        <v>6313</v>
      </c>
      <c r="G256" s="6" t="s">
        <v>6314</v>
      </c>
      <c r="H256" t="s">
        <v>1376</v>
      </c>
      <c r="J256" t="s">
        <v>6105</v>
      </c>
      <c r="K256" t="s">
        <v>6315</v>
      </c>
      <c r="L256" t="s">
        <v>6316</v>
      </c>
      <c r="N256" t="s">
        <v>6317</v>
      </c>
      <c r="O256" s="1">
        <v>45783.313449074078</v>
      </c>
      <c r="P256" s="1">
        <v>45783.313449074078</v>
      </c>
      <c r="Q256" s="1">
        <v>45783.313449074078</v>
      </c>
      <c r="R256" t="s">
        <v>6318</v>
      </c>
      <c r="T256">
        <v>11</v>
      </c>
      <c r="U256">
        <v>29</v>
      </c>
      <c r="W256" t="s">
        <v>3713</v>
      </c>
      <c r="AF256" t="s">
        <v>5140</v>
      </c>
      <c r="AJ256" t="s">
        <v>98</v>
      </c>
    </row>
    <row r="257" spans="1:74" x14ac:dyDescent="0.2">
      <c r="A257" t="s">
        <v>6684</v>
      </c>
      <c r="B257" t="s">
        <v>7036</v>
      </c>
      <c r="C257" t="s">
        <v>4999</v>
      </c>
      <c r="D257" t="s">
        <v>102</v>
      </c>
      <c r="E257">
        <v>2006</v>
      </c>
      <c r="F257" t="s">
        <v>5000</v>
      </c>
      <c r="G257" s="6" t="s">
        <v>5001</v>
      </c>
      <c r="H257" t="s">
        <v>5002</v>
      </c>
      <c r="J257" t="s">
        <v>5003</v>
      </c>
      <c r="M257" t="s">
        <v>5004</v>
      </c>
      <c r="N257" t="s">
        <v>5005</v>
      </c>
      <c r="O257" s="1">
        <v>45783.306388888886</v>
      </c>
      <c r="P257" s="1">
        <v>45783.306388888886</v>
      </c>
      <c r="R257" t="s">
        <v>5006</v>
      </c>
      <c r="T257">
        <v>3</v>
      </c>
      <c r="U257">
        <v>17</v>
      </c>
      <c r="AL257" t="s">
        <v>3637</v>
      </c>
      <c r="AP257" t="s">
        <v>5007</v>
      </c>
    </row>
    <row r="258" spans="1:74" x14ac:dyDescent="0.2">
      <c r="A258" t="s">
        <v>6684</v>
      </c>
      <c r="B258" t="s">
        <v>6653</v>
      </c>
      <c r="C258" t="s">
        <v>3939</v>
      </c>
      <c r="D258" t="s">
        <v>102</v>
      </c>
      <c r="E258">
        <v>2020</v>
      </c>
      <c r="F258" t="s">
        <v>3940</v>
      </c>
      <c r="G258" s="6" t="s">
        <v>3941</v>
      </c>
      <c r="H258" t="s">
        <v>3942</v>
      </c>
      <c r="J258" t="s">
        <v>3943</v>
      </c>
      <c r="K258" t="s">
        <v>3944</v>
      </c>
      <c r="L258" t="s">
        <v>3945</v>
      </c>
      <c r="M258" t="s">
        <v>3946</v>
      </c>
      <c r="N258" t="s">
        <v>3947</v>
      </c>
      <c r="O258" s="1">
        <v>45783.306377314817</v>
      </c>
      <c r="P258" s="1">
        <v>45783.306377314817</v>
      </c>
      <c r="R258" t="s">
        <v>3948</v>
      </c>
      <c r="T258">
        <v>4</v>
      </c>
      <c r="U258">
        <v>19</v>
      </c>
      <c r="AL258" t="s">
        <v>3263</v>
      </c>
      <c r="AP258" t="s">
        <v>3949</v>
      </c>
    </row>
    <row r="259" spans="1:74" x14ac:dyDescent="0.2">
      <c r="A259" t="s">
        <v>6684</v>
      </c>
      <c r="B259" t="s">
        <v>6653</v>
      </c>
      <c r="C259" t="s">
        <v>3966</v>
      </c>
      <c r="D259" t="s">
        <v>477</v>
      </c>
      <c r="E259">
        <v>2019</v>
      </c>
      <c r="F259" t="s">
        <v>3940</v>
      </c>
      <c r="G259" s="6" t="s">
        <v>3967</v>
      </c>
      <c r="H259" t="s">
        <v>3968</v>
      </c>
      <c r="I259" t="s">
        <v>3969</v>
      </c>
      <c r="K259" t="s">
        <v>3970</v>
      </c>
      <c r="L259" t="s">
        <v>3971</v>
      </c>
      <c r="M259" t="s">
        <v>3972</v>
      </c>
      <c r="N259">
        <v>2019</v>
      </c>
      <c r="O259" s="1">
        <v>45783.306377314817</v>
      </c>
      <c r="P259" s="1">
        <v>45783.306377314817</v>
      </c>
      <c r="R259" t="s">
        <v>3973</v>
      </c>
      <c r="Y259" t="s">
        <v>3974</v>
      </c>
      <c r="AC259" t="s">
        <v>1167</v>
      </c>
      <c r="AD259" t="s">
        <v>3218</v>
      </c>
      <c r="AL259" t="s">
        <v>3975</v>
      </c>
      <c r="AP259" t="s">
        <v>3949</v>
      </c>
    </row>
    <row r="260" spans="1:74" x14ac:dyDescent="0.2">
      <c r="A260" t="s">
        <v>6684</v>
      </c>
      <c r="B260" t="s">
        <v>7035</v>
      </c>
      <c r="C260" t="s">
        <v>1064</v>
      </c>
      <c r="D260" t="s">
        <v>102</v>
      </c>
      <c r="E260">
        <v>2025</v>
      </c>
      <c r="F260" t="s">
        <v>1065</v>
      </c>
      <c r="G260" s="6" t="s">
        <v>1066</v>
      </c>
      <c r="H260" t="s">
        <v>1067</v>
      </c>
      <c r="J260" t="s">
        <v>1068</v>
      </c>
      <c r="K260" t="s">
        <v>1069</v>
      </c>
      <c r="L260" t="s">
        <v>1070</v>
      </c>
      <c r="M260" t="s">
        <v>1071</v>
      </c>
      <c r="N260">
        <v>2025</v>
      </c>
      <c r="O260" s="1">
        <v>45783.300150462965</v>
      </c>
      <c r="P260" s="1">
        <v>45783.300150462965</v>
      </c>
      <c r="U260">
        <v>65</v>
      </c>
      <c r="W260" t="s">
        <v>1072</v>
      </c>
      <c r="AE260" t="s">
        <v>645</v>
      </c>
      <c r="AH260" t="s">
        <v>646</v>
      </c>
      <c r="AL260" t="s">
        <v>706</v>
      </c>
      <c r="AP260" t="s">
        <v>1073</v>
      </c>
    </row>
    <row r="261" spans="1:74" x14ac:dyDescent="0.2">
      <c r="A261" t="s">
        <v>6684</v>
      </c>
      <c r="B261" t="s">
        <v>7035</v>
      </c>
      <c r="C261" t="s">
        <v>4979</v>
      </c>
      <c r="D261" t="s">
        <v>477</v>
      </c>
      <c r="E261">
        <v>2007</v>
      </c>
      <c r="F261" t="s">
        <v>4980</v>
      </c>
      <c r="G261" s="6" t="s">
        <v>4981</v>
      </c>
      <c r="H261" t="s">
        <v>4982</v>
      </c>
      <c r="I261" t="s">
        <v>4983</v>
      </c>
      <c r="M261" t="s">
        <v>4984</v>
      </c>
      <c r="N261">
        <v>2007</v>
      </c>
      <c r="O261" s="1">
        <v>45783.306388888886</v>
      </c>
      <c r="P261" s="1">
        <v>45783.306388888886</v>
      </c>
      <c r="R261" t="s">
        <v>4985</v>
      </c>
      <c r="Y261" t="s">
        <v>4986</v>
      </c>
      <c r="AC261" t="s">
        <v>3194</v>
      </c>
      <c r="AD261" t="s">
        <v>589</v>
      </c>
      <c r="AL261" t="s">
        <v>4880</v>
      </c>
      <c r="AP261" t="s">
        <v>4987</v>
      </c>
    </row>
    <row r="262" spans="1:74" x14ac:dyDescent="0.2">
      <c r="A262" t="s">
        <v>6684</v>
      </c>
      <c r="B262" t="s">
        <v>7035</v>
      </c>
      <c r="C262" t="s">
        <v>436</v>
      </c>
      <c r="D262" t="s">
        <v>88</v>
      </c>
      <c r="E262">
        <v>2021</v>
      </c>
      <c r="F262" t="s">
        <v>437</v>
      </c>
      <c r="G262" s="6" t="s">
        <v>438</v>
      </c>
      <c r="H262" t="s">
        <v>439</v>
      </c>
      <c r="I262" t="s">
        <v>440</v>
      </c>
      <c r="L262" t="s">
        <v>441</v>
      </c>
      <c r="N262">
        <v>2021</v>
      </c>
      <c r="O262" s="1">
        <v>45783.293437499997</v>
      </c>
      <c r="P262" s="1">
        <v>45783.293437499997</v>
      </c>
      <c r="Q262" s="1">
        <v>45783.293437499997</v>
      </c>
      <c r="R262" t="s">
        <v>442</v>
      </c>
      <c r="U262">
        <v>1498</v>
      </c>
      <c r="AC262" t="s">
        <v>262</v>
      </c>
      <c r="AD262" t="s">
        <v>96</v>
      </c>
      <c r="AE262" t="s">
        <v>97</v>
      </c>
      <c r="AJ262" t="s">
        <v>98</v>
      </c>
      <c r="AL262" t="s">
        <v>443</v>
      </c>
      <c r="AR262" t="s">
        <v>389</v>
      </c>
    </row>
    <row r="263" spans="1:74" x14ac:dyDescent="0.2">
      <c r="A263" t="s">
        <v>6684</v>
      </c>
      <c r="B263" t="s">
        <v>7036</v>
      </c>
      <c r="C263" t="s">
        <v>3538</v>
      </c>
      <c r="D263" t="s">
        <v>477</v>
      </c>
      <c r="E263">
        <v>2011</v>
      </c>
      <c r="F263" t="s">
        <v>3539</v>
      </c>
      <c r="G263" s="6" t="s">
        <v>3540</v>
      </c>
      <c r="H263" t="s">
        <v>3541</v>
      </c>
      <c r="I263" t="s">
        <v>3542</v>
      </c>
      <c r="K263" t="s">
        <v>3543</v>
      </c>
      <c r="L263" t="s">
        <v>3544</v>
      </c>
      <c r="M263" t="s">
        <v>3545</v>
      </c>
      <c r="N263">
        <v>2011</v>
      </c>
      <c r="O263" s="1">
        <v>45783.30636574074</v>
      </c>
      <c r="P263" s="1">
        <v>45783.30636574074</v>
      </c>
      <c r="R263" t="s">
        <v>3546</v>
      </c>
      <c r="Y263" t="s">
        <v>3547</v>
      </c>
      <c r="AC263" t="s">
        <v>1167</v>
      </c>
      <c r="AD263" t="s">
        <v>3218</v>
      </c>
      <c r="AL263" t="s">
        <v>3548</v>
      </c>
      <c r="AP263" t="s">
        <v>3549</v>
      </c>
    </row>
    <row r="264" spans="1:74" x14ac:dyDescent="0.2">
      <c r="A264" t="s">
        <v>6684</v>
      </c>
      <c r="B264" t="s">
        <v>7035</v>
      </c>
      <c r="C264" t="s">
        <v>6171</v>
      </c>
      <c r="D264" t="s">
        <v>477</v>
      </c>
      <c r="E264">
        <v>2019</v>
      </c>
      <c r="F264" t="s">
        <v>6172</v>
      </c>
      <c r="G264" s="6" t="s">
        <v>6173</v>
      </c>
      <c r="H264" t="s">
        <v>5550</v>
      </c>
      <c r="I264" t="s">
        <v>5551</v>
      </c>
      <c r="K264" t="s">
        <v>6174</v>
      </c>
      <c r="L264" t="s">
        <v>6175</v>
      </c>
      <c r="N264" t="s">
        <v>4089</v>
      </c>
      <c r="O264" s="1">
        <v>45783.312847222223</v>
      </c>
      <c r="P264" s="1">
        <v>45783.312847222223</v>
      </c>
      <c r="Q264" s="1">
        <v>45783.312847222223</v>
      </c>
      <c r="R264" t="s">
        <v>6176</v>
      </c>
      <c r="X264" t="s">
        <v>6177</v>
      </c>
      <c r="AC264" t="s">
        <v>5107</v>
      </c>
      <c r="AD264" t="s">
        <v>5555</v>
      </c>
      <c r="AF264" t="s">
        <v>5140</v>
      </c>
      <c r="AJ264" t="s">
        <v>98</v>
      </c>
      <c r="BV264" t="s">
        <v>5550</v>
      </c>
    </row>
    <row r="265" spans="1:74" x14ac:dyDescent="0.2">
      <c r="A265" t="s">
        <v>6684</v>
      </c>
      <c r="B265" t="s">
        <v>6685</v>
      </c>
      <c r="C265" t="s">
        <v>962</v>
      </c>
      <c r="D265" t="s">
        <v>477</v>
      </c>
      <c r="E265">
        <v>2023</v>
      </c>
      <c r="F265" t="s">
        <v>963</v>
      </c>
      <c r="G265" s="6" t="s">
        <v>964</v>
      </c>
      <c r="H265" t="s">
        <v>965</v>
      </c>
      <c r="I265" t="s">
        <v>966</v>
      </c>
      <c r="K265" t="s">
        <v>967</v>
      </c>
      <c r="L265" t="s">
        <v>968</v>
      </c>
      <c r="M265" t="s">
        <v>969</v>
      </c>
      <c r="N265">
        <v>2023</v>
      </c>
      <c r="O265" s="1">
        <v>45783.300150462965</v>
      </c>
      <c r="P265" s="1">
        <v>45783.300150462965</v>
      </c>
      <c r="R265" t="s">
        <v>970</v>
      </c>
      <c r="U265" t="s">
        <v>971</v>
      </c>
      <c r="AC265" t="s">
        <v>787</v>
      </c>
      <c r="AE265" t="s">
        <v>645</v>
      </c>
      <c r="AH265" t="s">
        <v>646</v>
      </c>
      <c r="AL265" t="s">
        <v>972</v>
      </c>
      <c r="AP265" t="s">
        <v>973</v>
      </c>
      <c r="AR265" t="s">
        <v>974</v>
      </c>
      <c r="BV265" t="s">
        <v>975</v>
      </c>
    </row>
    <row r="266" spans="1:74" x14ac:dyDescent="0.2">
      <c r="A266" t="s">
        <v>7034</v>
      </c>
      <c r="B266" t="s">
        <v>6656</v>
      </c>
      <c r="C266" t="s">
        <v>1220</v>
      </c>
      <c r="D266" t="s">
        <v>102</v>
      </c>
      <c r="E266">
        <v>2024</v>
      </c>
      <c r="F266" t="s">
        <v>1221</v>
      </c>
      <c r="G266" s="6" t="s">
        <v>1222</v>
      </c>
      <c r="H266" t="s">
        <v>1223</v>
      </c>
      <c r="J266" t="s">
        <v>1224</v>
      </c>
      <c r="K266" t="s">
        <v>1225</v>
      </c>
      <c r="L266" t="s">
        <v>1226</v>
      </c>
      <c r="M266" t="s">
        <v>1227</v>
      </c>
      <c r="N266">
        <v>2024</v>
      </c>
      <c r="O266" s="1">
        <v>45783.300150462965</v>
      </c>
      <c r="P266" s="1">
        <v>45783.300150462965</v>
      </c>
      <c r="T266">
        <v>1</v>
      </c>
      <c r="U266">
        <v>35</v>
      </c>
      <c r="W266" t="s">
        <v>1228</v>
      </c>
      <c r="AE266" t="s">
        <v>645</v>
      </c>
      <c r="AH266" t="s">
        <v>646</v>
      </c>
      <c r="AL266" t="s">
        <v>1229</v>
      </c>
      <c r="AP266" t="s">
        <v>1230</v>
      </c>
    </row>
    <row r="267" spans="1:74" x14ac:dyDescent="0.2">
      <c r="A267" t="s">
        <v>6684</v>
      </c>
      <c r="B267" t="s">
        <v>7044</v>
      </c>
      <c r="C267" t="s">
        <v>1545</v>
      </c>
      <c r="D267" t="s">
        <v>102</v>
      </c>
      <c r="E267">
        <v>2022</v>
      </c>
      <c r="F267" t="s">
        <v>1546</v>
      </c>
      <c r="G267" s="6" t="s">
        <v>1547</v>
      </c>
      <c r="H267" t="s">
        <v>1548</v>
      </c>
      <c r="J267" t="s">
        <v>1549</v>
      </c>
      <c r="K267" t="s">
        <v>1550</v>
      </c>
      <c r="L267" t="s">
        <v>1551</v>
      </c>
      <c r="M267" t="s">
        <v>1552</v>
      </c>
      <c r="N267">
        <v>2022</v>
      </c>
      <c r="O267" s="1">
        <v>45783.300150462965</v>
      </c>
      <c r="P267" s="1">
        <v>45783.300150462965</v>
      </c>
      <c r="R267" t="s">
        <v>1553</v>
      </c>
      <c r="T267">
        <v>3</v>
      </c>
      <c r="U267">
        <v>35</v>
      </c>
      <c r="W267" t="s">
        <v>1554</v>
      </c>
      <c r="X267" t="s">
        <v>1555</v>
      </c>
      <c r="AE267" t="s">
        <v>645</v>
      </c>
      <c r="AH267" t="s">
        <v>646</v>
      </c>
      <c r="AL267" t="s">
        <v>1556</v>
      </c>
      <c r="AP267" t="s">
        <v>1557</v>
      </c>
    </row>
    <row r="268" spans="1:74" x14ac:dyDescent="0.2">
      <c r="A268" t="s">
        <v>6684</v>
      </c>
      <c r="B268" t="s">
        <v>7035</v>
      </c>
      <c r="C268" t="s">
        <v>4199</v>
      </c>
      <c r="D268" t="s">
        <v>477</v>
      </c>
      <c r="E268">
        <v>2023</v>
      </c>
      <c r="F268" t="s">
        <v>4200</v>
      </c>
      <c r="G268" s="6" t="s">
        <v>4201</v>
      </c>
      <c r="H268" t="s">
        <v>4202</v>
      </c>
      <c r="I268" t="s">
        <v>4203</v>
      </c>
      <c r="K268" t="s">
        <v>4204</v>
      </c>
      <c r="L268" t="s">
        <v>4205</v>
      </c>
      <c r="M268" t="s">
        <v>4206</v>
      </c>
      <c r="N268">
        <v>2023</v>
      </c>
      <c r="O268" s="1">
        <v>45783.306377314817</v>
      </c>
      <c r="P268" s="1">
        <v>45783.306377314817</v>
      </c>
      <c r="R268" t="s">
        <v>4207</v>
      </c>
      <c r="Y268" t="s">
        <v>4208</v>
      </c>
      <c r="AC268" t="s">
        <v>1167</v>
      </c>
      <c r="AD268" t="s">
        <v>3218</v>
      </c>
      <c r="AL268" t="s">
        <v>4209</v>
      </c>
      <c r="AP268" t="s">
        <v>4210</v>
      </c>
    </row>
    <row r="269" spans="1:74" x14ac:dyDescent="0.2">
      <c r="A269" t="s">
        <v>6684</v>
      </c>
      <c r="B269" t="s">
        <v>7035</v>
      </c>
      <c r="C269" t="s">
        <v>764</v>
      </c>
      <c r="D269" t="s">
        <v>477</v>
      </c>
      <c r="E269">
        <v>2024</v>
      </c>
      <c r="F269" t="s">
        <v>765</v>
      </c>
      <c r="G269" s="6" t="s">
        <v>766</v>
      </c>
      <c r="H269" t="s">
        <v>767</v>
      </c>
      <c r="I269" t="s">
        <v>768</v>
      </c>
      <c r="K269" t="s">
        <v>769</v>
      </c>
      <c r="L269" t="s">
        <v>770</v>
      </c>
      <c r="M269" t="s">
        <v>771</v>
      </c>
      <c r="N269">
        <v>2024</v>
      </c>
      <c r="O269" s="1">
        <v>45783.300150462965</v>
      </c>
      <c r="P269" s="1">
        <v>45783.300150462965</v>
      </c>
      <c r="U269" t="s">
        <v>772</v>
      </c>
      <c r="AC269" t="s">
        <v>773</v>
      </c>
      <c r="AE269" t="s">
        <v>645</v>
      </c>
      <c r="AH269" t="s">
        <v>646</v>
      </c>
      <c r="AL269" t="s">
        <v>774</v>
      </c>
      <c r="AP269" t="s">
        <v>775</v>
      </c>
      <c r="BV269" t="s">
        <v>776</v>
      </c>
    </row>
    <row r="270" spans="1:74" x14ac:dyDescent="0.2">
      <c r="A270" t="s">
        <v>6684</v>
      </c>
      <c r="B270" t="s">
        <v>7050</v>
      </c>
      <c r="C270" t="s">
        <v>5082</v>
      </c>
      <c r="D270" t="s">
        <v>477</v>
      </c>
      <c r="E270">
        <v>2021</v>
      </c>
      <c r="F270" t="s">
        <v>5083</v>
      </c>
      <c r="G270" s="6" t="s">
        <v>5084</v>
      </c>
      <c r="H270" t="s">
        <v>5085</v>
      </c>
      <c r="I270" t="s">
        <v>5086</v>
      </c>
      <c r="K270" t="s">
        <v>5087</v>
      </c>
      <c r="L270" t="s">
        <v>5088</v>
      </c>
      <c r="M270" t="s">
        <v>5089</v>
      </c>
      <c r="N270">
        <v>2021</v>
      </c>
      <c r="O270" s="1">
        <v>45783.306388888886</v>
      </c>
      <c r="P270" s="1">
        <v>45783.306388888886</v>
      </c>
      <c r="R270" t="s">
        <v>5090</v>
      </c>
      <c r="AC270" t="s">
        <v>3194</v>
      </c>
      <c r="AD270" t="s">
        <v>589</v>
      </c>
      <c r="AP270" t="s">
        <v>4101</v>
      </c>
    </row>
    <row r="271" spans="1:74" x14ac:dyDescent="0.2">
      <c r="A271" t="s">
        <v>6684</v>
      </c>
      <c r="B271" t="s">
        <v>7035</v>
      </c>
      <c r="C271" t="s">
        <v>4092</v>
      </c>
      <c r="D271" t="s">
        <v>477</v>
      </c>
      <c r="E271">
        <v>2022</v>
      </c>
      <c r="F271" t="s">
        <v>4093</v>
      </c>
      <c r="G271" s="6" t="s">
        <v>4094</v>
      </c>
      <c r="H271" t="s">
        <v>4095</v>
      </c>
      <c r="I271" t="s">
        <v>4096</v>
      </c>
      <c r="K271" t="s">
        <v>4097</v>
      </c>
      <c r="L271" t="s">
        <v>4098</v>
      </c>
      <c r="M271" t="s">
        <v>4099</v>
      </c>
      <c r="N271">
        <v>2022</v>
      </c>
      <c r="O271" s="1">
        <v>45783.293344907404</v>
      </c>
      <c r="P271" s="1">
        <v>45784.293032407404</v>
      </c>
      <c r="R271" t="s">
        <v>4100</v>
      </c>
      <c r="AC271" t="s">
        <v>3194</v>
      </c>
      <c r="AD271" t="s">
        <v>589</v>
      </c>
      <c r="AP271" t="s">
        <v>4101</v>
      </c>
    </row>
    <row r="272" spans="1:74" x14ac:dyDescent="0.2">
      <c r="A272" t="s">
        <v>7034</v>
      </c>
      <c r="B272" t="s">
        <v>6656</v>
      </c>
      <c r="C272" t="s">
        <v>2172</v>
      </c>
      <c r="D272" t="s">
        <v>102</v>
      </c>
      <c r="E272">
        <v>2019</v>
      </c>
      <c r="F272" t="s">
        <v>2173</v>
      </c>
      <c r="G272" s="6" t="s">
        <v>2174</v>
      </c>
      <c r="H272" t="s">
        <v>2175</v>
      </c>
      <c r="J272" t="s">
        <v>2176</v>
      </c>
      <c r="K272" t="s">
        <v>2177</v>
      </c>
      <c r="L272" t="s">
        <v>2178</v>
      </c>
      <c r="M272" t="s">
        <v>2179</v>
      </c>
      <c r="N272">
        <v>2019</v>
      </c>
      <c r="O272" s="1">
        <v>45783.300162037034</v>
      </c>
      <c r="P272" s="1">
        <v>45783.300162037034</v>
      </c>
      <c r="R272" t="s">
        <v>2180</v>
      </c>
      <c r="T272">
        <v>2</v>
      </c>
      <c r="U272">
        <v>16</v>
      </c>
      <c r="W272" t="s">
        <v>2181</v>
      </c>
      <c r="AE272" t="s">
        <v>645</v>
      </c>
      <c r="AH272" t="s">
        <v>646</v>
      </c>
      <c r="AL272" t="s">
        <v>2182</v>
      </c>
      <c r="AP272" t="s">
        <v>2183</v>
      </c>
    </row>
    <row r="273" spans="1:74" x14ac:dyDescent="0.2">
      <c r="A273" t="s">
        <v>6684</v>
      </c>
      <c r="B273" t="s">
        <v>7035</v>
      </c>
      <c r="C273" t="s">
        <v>466</v>
      </c>
      <c r="D273" t="s">
        <v>88</v>
      </c>
      <c r="E273">
        <v>2021</v>
      </c>
      <c r="F273" t="s">
        <v>467</v>
      </c>
      <c r="G273" s="6" t="s">
        <v>468</v>
      </c>
      <c r="H273" t="s">
        <v>469</v>
      </c>
      <c r="I273" t="s">
        <v>470</v>
      </c>
      <c r="L273" t="s">
        <v>471</v>
      </c>
      <c r="N273">
        <v>2021</v>
      </c>
      <c r="O273" s="1">
        <v>45783.293599537035</v>
      </c>
      <c r="P273" s="1">
        <v>45783.293599537035</v>
      </c>
      <c r="Q273" s="1">
        <v>45783.293599537035</v>
      </c>
      <c r="R273" t="s">
        <v>472</v>
      </c>
      <c r="AC273" t="s">
        <v>473</v>
      </c>
      <c r="AD273" t="s">
        <v>474</v>
      </c>
      <c r="AE273" t="s">
        <v>97</v>
      </c>
      <c r="AJ273" t="s">
        <v>98</v>
      </c>
      <c r="AL273" t="s">
        <v>475</v>
      </c>
      <c r="AW273" t="s">
        <v>467</v>
      </c>
    </row>
    <row r="274" spans="1:74" x14ac:dyDescent="0.2">
      <c r="A274" t="s">
        <v>6684</v>
      </c>
      <c r="B274" t="s">
        <v>7035</v>
      </c>
      <c r="C274" t="s">
        <v>3908</v>
      </c>
      <c r="D274" t="s">
        <v>477</v>
      </c>
      <c r="E274">
        <v>2022</v>
      </c>
      <c r="F274" t="s">
        <v>3909</v>
      </c>
      <c r="G274" s="6" t="s">
        <v>3910</v>
      </c>
      <c r="H274" t="s">
        <v>3911</v>
      </c>
      <c r="I274" t="s">
        <v>3912</v>
      </c>
      <c r="K274" t="s">
        <v>3913</v>
      </c>
      <c r="L274" t="s">
        <v>3914</v>
      </c>
      <c r="M274" t="s">
        <v>3915</v>
      </c>
      <c r="N274">
        <v>2022</v>
      </c>
      <c r="O274" s="1">
        <v>45783.306377314817</v>
      </c>
      <c r="P274" s="1">
        <v>45783.306377314817</v>
      </c>
      <c r="R274" t="s">
        <v>3916</v>
      </c>
      <c r="AC274" t="s">
        <v>3194</v>
      </c>
      <c r="AD274" t="s">
        <v>589</v>
      </c>
      <c r="AP274" t="s">
        <v>3917</v>
      </c>
    </row>
    <row r="275" spans="1:74" x14ac:dyDescent="0.2">
      <c r="A275" t="s">
        <v>6684</v>
      </c>
      <c r="B275" t="s">
        <v>7036</v>
      </c>
      <c r="C275" t="s">
        <v>2253</v>
      </c>
      <c r="D275" t="s">
        <v>477</v>
      </c>
      <c r="E275">
        <v>2011</v>
      </c>
      <c r="F275" t="s">
        <v>2254</v>
      </c>
      <c r="G275" s="6" t="s">
        <v>2255</v>
      </c>
      <c r="H275" t="s">
        <v>2256</v>
      </c>
      <c r="I275" t="s">
        <v>2257</v>
      </c>
      <c r="L275" t="s">
        <v>2258</v>
      </c>
      <c r="M275" t="s">
        <v>2259</v>
      </c>
      <c r="N275">
        <v>2011</v>
      </c>
      <c r="O275" s="1">
        <v>45783.300162037034</v>
      </c>
      <c r="P275" s="1">
        <v>45783.300162037034</v>
      </c>
      <c r="AE275" t="s">
        <v>645</v>
      </c>
      <c r="AH275" t="s">
        <v>646</v>
      </c>
      <c r="AL275" t="s">
        <v>2260</v>
      </c>
      <c r="AP275" t="s">
        <v>2261</v>
      </c>
      <c r="BV275" t="s">
        <v>2262</v>
      </c>
    </row>
    <row r="276" spans="1:74" x14ac:dyDescent="0.2">
      <c r="A276" t="s">
        <v>6684</v>
      </c>
      <c r="B276" t="s">
        <v>7035</v>
      </c>
      <c r="C276" t="s">
        <v>175</v>
      </c>
      <c r="D276" t="s">
        <v>88</v>
      </c>
      <c r="E276">
        <v>2024</v>
      </c>
      <c r="F276" t="s">
        <v>176</v>
      </c>
      <c r="G276" s="6" t="s">
        <v>177</v>
      </c>
      <c r="H276" t="s">
        <v>178</v>
      </c>
      <c r="I276" t="s">
        <v>179</v>
      </c>
      <c r="L276" t="s">
        <v>180</v>
      </c>
      <c r="N276">
        <v>2024</v>
      </c>
      <c r="O276" s="1">
        <v>45783.293067129627</v>
      </c>
      <c r="P276" s="1">
        <v>45783.293067129627</v>
      </c>
      <c r="Q276" s="1">
        <v>45783.293067129627</v>
      </c>
      <c r="R276" t="s">
        <v>181</v>
      </c>
      <c r="U276">
        <v>2166</v>
      </c>
      <c r="AC276" t="s">
        <v>95</v>
      </c>
      <c r="AD276" t="s">
        <v>96</v>
      </c>
      <c r="AE276" t="s">
        <v>97</v>
      </c>
      <c r="AJ276" t="s">
        <v>98</v>
      </c>
      <c r="AL276" t="s">
        <v>182</v>
      </c>
      <c r="AR276" t="s">
        <v>183</v>
      </c>
    </row>
    <row r="277" spans="1:74" x14ac:dyDescent="0.2">
      <c r="A277" t="s">
        <v>7034</v>
      </c>
      <c r="B277" t="s">
        <v>7048</v>
      </c>
      <c r="C277" t="s">
        <v>2569</v>
      </c>
      <c r="D277" t="s">
        <v>477</v>
      </c>
      <c r="E277">
        <v>2016</v>
      </c>
      <c r="F277" t="s">
        <v>2570</v>
      </c>
      <c r="G277" s="6" t="s">
        <v>2571</v>
      </c>
      <c r="H277" t="s">
        <v>2572</v>
      </c>
      <c r="I277" t="s">
        <v>2573</v>
      </c>
      <c r="K277" t="s">
        <v>2574</v>
      </c>
      <c r="L277" t="s">
        <v>2575</v>
      </c>
      <c r="M277" t="s">
        <v>2576</v>
      </c>
      <c r="N277">
        <v>2016</v>
      </c>
      <c r="O277" s="1">
        <v>45783.300162037034</v>
      </c>
      <c r="P277" s="1">
        <v>45783.300162037034</v>
      </c>
      <c r="R277" t="s">
        <v>2577</v>
      </c>
      <c r="U277">
        <v>14</v>
      </c>
      <c r="AC277" t="s">
        <v>1167</v>
      </c>
      <c r="AE277" t="s">
        <v>645</v>
      </c>
      <c r="AH277" t="s">
        <v>646</v>
      </c>
      <c r="AL277" t="s">
        <v>2578</v>
      </c>
      <c r="AP277" t="s">
        <v>2579</v>
      </c>
      <c r="AR277" t="s">
        <v>2055</v>
      </c>
      <c r="BV277" t="s">
        <v>2580</v>
      </c>
    </row>
    <row r="278" spans="1:74" x14ac:dyDescent="0.2">
      <c r="A278" t="s">
        <v>6684</v>
      </c>
      <c r="B278" t="s">
        <v>7040</v>
      </c>
      <c r="C278" t="s">
        <v>2826</v>
      </c>
      <c r="D278" t="s">
        <v>477</v>
      </c>
      <c r="E278">
        <v>2015</v>
      </c>
      <c r="F278" t="s">
        <v>2827</v>
      </c>
      <c r="G278" s="6" t="s">
        <v>2828</v>
      </c>
      <c r="H278" t="s">
        <v>2584</v>
      </c>
      <c r="I278" t="s">
        <v>2585</v>
      </c>
      <c r="L278" t="s">
        <v>2829</v>
      </c>
      <c r="M278" t="s">
        <v>2830</v>
      </c>
      <c r="N278">
        <v>2015</v>
      </c>
      <c r="O278" s="1">
        <v>45783.300162037034</v>
      </c>
      <c r="P278" s="1">
        <v>45783.300162037034</v>
      </c>
      <c r="R278" t="s">
        <v>2831</v>
      </c>
      <c r="U278">
        <v>2</v>
      </c>
      <c r="AC278" t="s">
        <v>2318</v>
      </c>
      <c r="AE278" t="s">
        <v>645</v>
      </c>
      <c r="AH278" t="s">
        <v>646</v>
      </c>
      <c r="AL278" t="s">
        <v>2589</v>
      </c>
      <c r="AP278" t="s">
        <v>2832</v>
      </c>
      <c r="BV278" t="s">
        <v>2591</v>
      </c>
    </row>
    <row r="279" spans="1:74" x14ac:dyDescent="0.2">
      <c r="A279" t="s">
        <v>7033</v>
      </c>
      <c r="B279" t="s">
        <v>7041</v>
      </c>
      <c r="C279" t="s">
        <v>3627</v>
      </c>
      <c r="D279" t="s">
        <v>102</v>
      </c>
      <c r="E279">
        <v>2012</v>
      </c>
      <c r="F279" t="s">
        <v>3628</v>
      </c>
      <c r="G279" s="6" t="s">
        <v>3629</v>
      </c>
      <c r="H279" t="s">
        <v>3630</v>
      </c>
      <c r="J279" t="s">
        <v>3631</v>
      </c>
      <c r="K279" t="s">
        <v>3632</v>
      </c>
      <c r="L279" t="s">
        <v>3633</v>
      </c>
      <c r="M279" t="s">
        <v>3634</v>
      </c>
      <c r="N279" t="s">
        <v>3635</v>
      </c>
      <c r="O279" s="1">
        <v>45783.30636574074</v>
      </c>
      <c r="P279" s="1">
        <v>45783.30636574074</v>
      </c>
      <c r="R279" t="s">
        <v>3636</v>
      </c>
      <c r="T279">
        <v>2</v>
      </c>
      <c r="U279">
        <v>6</v>
      </c>
      <c r="AL279" t="s">
        <v>3637</v>
      </c>
      <c r="AP279" t="s">
        <v>3638</v>
      </c>
    </row>
    <row r="280" spans="1:74" x14ac:dyDescent="0.2">
      <c r="A280" t="s">
        <v>6684</v>
      </c>
      <c r="B280" t="s">
        <v>7053</v>
      </c>
      <c r="C280" t="s">
        <v>3704</v>
      </c>
      <c r="D280" t="s">
        <v>102</v>
      </c>
      <c r="E280">
        <v>2009</v>
      </c>
      <c r="F280" t="s">
        <v>3705</v>
      </c>
      <c r="G280" s="6" t="s">
        <v>3706</v>
      </c>
      <c r="H280" t="s">
        <v>1376</v>
      </c>
      <c r="J280" t="s">
        <v>3707</v>
      </c>
      <c r="K280" t="s">
        <v>3708</v>
      </c>
      <c r="L280" s="14" t="s">
        <v>3709</v>
      </c>
      <c r="M280" t="s">
        <v>3710</v>
      </c>
      <c r="N280" t="s">
        <v>3711</v>
      </c>
      <c r="O280" s="1">
        <v>45783.30636574074</v>
      </c>
      <c r="P280" s="1">
        <v>45783.469756944447</v>
      </c>
      <c r="R280" t="s">
        <v>3712</v>
      </c>
      <c r="T280">
        <v>3</v>
      </c>
      <c r="U280">
        <v>15</v>
      </c>
      <c r="W280" t="s">
        <v>3713</v>
      </c>
      <c r="X280" t="s">
        <v>3714</v>
      </c>
      <c r="AL280" t="s">
        <v>3715</v>
      </c>
      <c r="AP280" t="s">
        <v>3716</v>
      </c>
    </row>
    <row r="281" spans="1:74" x14ac:dyDescent="0.2">
      <c r="A281" t="s">
        <v>6684</v>
      </c>
      <c r="B281" t="s">
        <v>7050</v>
      </c>
      <c r="C281" t="s">
        <v>1252</v>
      </c>
      <c r="D281" t="s">
        <v>477</v>
      </c>
      <c r="E281">
        <v>2024</v>
      </c>
      <c r="F281" t="s">
        <v>1253</v>
      </c>
      <c r="G281" s="6" t="s">
        <v>1254</v>
      </c>
      <c r="H281" t="s">
        <v>1255</v>
      </c>
      <c r="I281" t="s">
        <v>1256</v>
      </c>
      <c r="K281" t="s">
        <v>1257</v>
      </c>
      <c r="L281" t="s">
        <v>1258</v>
      </c>
      <c r="M281" t="s">
        <v>1259</v>
      </c>
      <c r="N281">
        <v>2024</v>
      </c>
      <c r="O281" s="1">
        <v>45783.300150462965</v>
      </c>
      <c r="P281" s="1">
        <v>45783.300150462965</v>
      </c>
      <c r="R281" t="s">
        <v>1260</v>
      </c>
      <c r="U281" t="s">
        <v>1261</v>
      </c>
      <c r="AC281" t="s">
        <v>787</v>
      </c>
      <c r="AE281" t="s">
        <v>645</v>
      </c>
      <c r="AH281" t="s">
        <v>646</v>
      </c>
      <c r="AL281" t="s">
        <v>1262</v>
      </c>
      <c r="AP281" t="s">
        <v>1263</v>
      </c>
      <c r="AR281" t="s">
        <v>1264</v>
      </c>
      <c r="BV281" t="s">
        <v>1265</v>
      </c>
    </row>
    <row r="282" spans="1:74" x14ac:dyDescent="0.2">
      <c r="A282" t="s">
        <v>6684</v>
      </c>
      <c r="B282" t="s">
        <v>7037</v>
      </c>
      <c r="C282" t="s">
        <v>2844</v>
      </c>
      <c r="D282" t="s">
        <v>477</v>
      </c>
      <c r="E282">
        <v>2010</v>
      </c>
      <c r="F282" t="s">
        <v>2845</v>
      </c>
      <c r="G282" s="6" t="s">
        <v>2846</v>
      </c>
      <c r="H282" t="s">
        <v>2847</v>
      </c>
      <c r="I282" t="s">
        <v>2848</v>
      </c>
      <c r="K282" t="s">
        <v>2849</v>
      </c>
      <c r="L282" t="s">
        <v>2850</v>
      </c>
      <c r="M282" t="s">
        <v>2851</v>
      </c>
      <c r="N282">
        <v>2010</v>
      </c>
      <c r="O282" s="1">
        <v>45783.300162037034</v>
      </c>
      <c r="P282" s="1">
        <v>45783.300162037034</v>
      </c>
      <c r="AE282" t="s">
        <v>645</v>
      </c>
      <c r="AH282" t="s">
        <v>646</v>
      </c>
      <c r="AL282" t="s">
        <v>2852</v>
      </c>
      <c r="AP282" t="s">
        <v>2853</v>
      </c>
      <c r="BV282" t="s">
        <v>2854</v>
      </c>
    </row>
    <row r="283" spans="1:74" x14ac:dyDescent="0.2">
      <c r="A283" t="s">
        <v>7034</v>
      </c>
      <c r="B283" t="s">
        <v>7053</v>
      </c>
      <c r="C283" t="s">
        <v>3504</v>
      </c>
      <c r="D283" t="s">
        <v>477</v>
      </c>
      <c r="E283">
        <v>2021</v>
      </c>
      <c r="F283" t="s">
        <v>3505</v>
      </c>
      <c r="G283" s="6" t="s">
        <v>3506</v>
      </c>
      <c r="H283" t="s">
        <v>3507</v>
      </c>
      <c r="I283" t="s">
        <v>3508</v>
      </c>
      <c r="K283" t="s">
        <v>3509</v>
      </c>
      <c r="L283" t="s">
        <v>3510</v>
      </c>
      <c r="M283" t="s">
        <v>3511</v>
      </c>
      <c r="N283">
        <v>2021</v>
      </c>
      <c r="O283" s="1">
        <v>45783.30636574074</v>
      </c>
      <c r="P283" s="1">
        <v>45783.30636574074</v>
      </c>
      <c r="Y283" t="s">
        <v>3512</v>
      </c>
      <c r="AC283" t="s">
        <v>1167</v>
      </c>
      <c r="AD283" t="s">
        <v>3218</v>
      </c>
      <c r="AL283" t="s">
        <v>3513</v>
      </c>
      <c r="AP283" t="s">
        <v>3514</v>
      </c>
    </row>
    <row r="284" spans="1:74" x14ac:dyDescent="0.2">
      <c r="A284" t="s">
        <v>6684</v>
      </c>
      <c r="B284" t="s">
        <v>6657</v>
      </c>
      <c r="C284" t="s">
        <v>4901</v>
      </c>
      <c r="D284" t="s">
        <v>477</v>
      </c>
      <c r="E284">
        <v>2019</v>
      </c>
      <c r="F284" t="s">
        <v>4902</v>
      </c>
      <c r="G284" s="6" t="s">
        <v>4903</v>
      </c>
      <c r="H284" t="s">
        <v>4904</v>
      </c>
      <c r="I284" t="s">
        <v>4905</v>
      </c>
      <c r="K284" t="s">
        <v>4906</v>
      </c>
      <c r="L284" t="s">
        <v>4907</v>
      </c>
      <c r="M284" t="s">
        <v>4908</v>
      </c>
      <c r="N284">
        <v>2019</v>
      </c>
      <c r="O284" s="1">
        <v>45783.306377314817</v>
      </c>
      <c r="P284" s="1">
        <v>45783.306377314817</v>
      </c>
      <c r="R284" t="s">
        <v>4909</v>
      </c>
      <c r="Y284" t="s">
        <v>4910</v>
      </c>
      <c r="AC284" t="s">
        <v>1167</v>
      </c>
      <c r="AD284" t="s">
        <v>3218</v>
      </c>
      <c r="AL284" t="s">
        <v>4911</v>
      </c>
      <c r="AP284" t="s">
        <v>4912</v>
      </c>
    </row>
    <row r="285" spans="1:74" x14ac:dyDescent="0.2">
      <c r="A285" t="s">
        <v>6684</v>
      </c>
      <c r="B285" t="s">
        <v>7035</v>
      </c>
      <c r="C285" t="s">
        <v>5439</v>
      </c>
      <c r="D285" t="s">
        <v>477</v>
      </c>
      <c r="E285">
        <v>2024</v>
      </c>
      <c r="F285" t="s">
        <v>5440</v>
      </c>
      <c r="G285" s="6" t="s">
        <v>5441</v>
      </c>
      <c r="H285" t="s">
        <v>5442</v>
      </c>
      <c r="I285" t="s">
        <v>5443</v>
      </c>
      <c r="K285" t="s">
        <v>5444</v>
      </c>
      <c r="L285" t="s">
        <v>5445</v>
      </c>
      <c r="N285" s="2">
        <v>45482</v>
      </c>
      <c r="O285" s="1">
        <v>45783.311412037037</v>
      </c>
      <c r="P285" s="1">
        <v>45783.311412037037</v>
      </c>
      <c r="Q285" s="1">
        <v>45783.311412037037</v>
      </c>
      <c r="R285" t="s">
        <v>5446</v>
      </c>
      <c r="AC285" t="s">
        <v>5107</v>
      </c>
      <c r="AD285" t="s">
        <v>5447</v>
      </c>
      <c r="AF285" t="s">
        <v>5109</v>
      </c>
      <c r="AJ285" t="s">
        <v>98</v>
      </c>
      <c r="BV285" t="s">
        <v>5442</v>
      </c>
    </row>
    <row r="286" spans="1:74" x14ac:dyDescent="0.2">
      <c r="A286" t="s">
        <v>6684</v>
      </c>
      <c r="B286" t="s">
        <v>7035</v>
      </c>
      <c r="C286" t="s">
        <v>4112</v>
      </c>
      <c r="D286" t="s">
        <v>477</v>
      </c>
      <c r="E286">
        <v>2024</v>
      </c>
      <c r="F286" t="s">
        <v>4113</v>
      </c>
      <c r="G286" s="6" t="s">
        <v>4114</v>
      </c>
      <c r="H286" t="s">
        <v>4115</v>
      </c>
      <c r="I286" t="s">
        <v>4116</v>
      </c>
      <c r="K286" t="s">
        <v>4117</v>
      </c>
      <c r="L286" t="s">
        <v>4118</v>
      </c>
      <c r="M286" t="s">
        <v>4119</v>
      </c>
      <c r="N286">
        <v>2024</v>
      </c>
      <c r="O286" s="1">
        <v>45783.306377314817</v>
      </c>
      <c r="P286" s="1">
        <v>45783.306377314817</v>
      </c>
      <c r="R286" t="s">
        <v>4120</v>
      </c>
      <c r="Y286" t="s">
        <v>4121</v>
      </c>
      <c r="AC286" t="s">
        <v>1167</v>
      </c>
      <c r="AD286" t="s">
        <v>3218</v>
      </c>
      <c r="AL286" t="s">
        <v>3513</v>
      </c>
      <c r="AP286" t="s">
        <v>4122</v>
      </c>
    </row>
    <row r="287" spans="1:74" x14ac:dyDescent="0.2">
      <c r="A287" t="s">
        <v>7034</v>
      </c>
      <c r="B287" t="s">
        <v>6664</v>
      </c>
      <c r="C287" t="s">
        <v>2011</v>
      </c>
      <c r="D287" t="s">
        <v>102</v>
      </c>
      <c r="E287">
        <v>2022</v>
      </c>
      <c r="F287" t="s">
        <v>2012</v>
      </c>
      <c r="G287" s="6" t="s">
        <v>2013</v>
      </c>
      <c r="H287" t="s">
        <v>711</v>
      </c>
      <c r="J287" t="s">
        <v>712</v>
      </c>
      <c r="K287" t="s">
        <v>2014</v>
      </c>
      <c r="L287" t="s">
        <v>2015</v>
      </c>
      <c r="M287" t="s">
        <v>2016</v>
      </c>
      <c r="N287">
        <v>2022</v>
      </c>
      <c r="O287" s="1">
        <v>45783.300162037034</v>
      </c>
      <c r="P287" s="1">
        <v>45783.300162037034</v>
      </c>
      <c r="U287">
        <v>142</v>
      </c>
      <c r="W287" t="s">
        <v>716</v>
      </c>
      <c r="AE287" t="s">
        <v>645</v>
      </c>
      <c r="AH287" t="s">
        <v>646</v>
      </c>
      <c r="AL287" t="s">
        <v>717</v>
      </c>
      <c r="AP287" t="s">
        <v>2017</v>
      </c>
    </row>
    <row r="288" spans="1:74" x14ac:dyDescent="0.2">
      <c r="A288" t="s">
        <v>6684</v>
      </c>
      <c r="B288" t="s">
        <v>6657</v>
      </c>
      <c r="C288" t="s">
        <v>719</v>
      </c>
      <c r="D288" t="s">
        <v>102</v>
      </c>
      <c r="E288">
        <v>2024</v>
      </c>
      <c r="F288" t="s">
        <v>720</v>
      </c>
      <c r="G288" s="6" t="s">
        <v>721</v>
      </c>
      <c r="H288" t="s">
        <v>722</v>
      </c>
      <c r="J288" t="s">
        <v>723</v>
      </c>
      <c r="K288" t="s">
        <v>724</v>
      </c>
      <c r="L288" t="s">
        <v>725</v>
      </c>
      <c r="M288" t="s">
        <v>726</v>
      </c>
      <c r="N288">
        <v>2024</v>
      </c>
      <c r="O288" s="1">
        <v>45783.300150462965</v>
      </c>
      <c r="P288" s="1">
        <v>45783.300150462965</v>
      </c>
      <c r="U288">
        <v>15</v>
      </c>
      <c r="W288" t="s">
        <v>727</v>
      </c>
      <c r="AE288" t="s">
        <v>645</v>
      </c>
      <c r="AH288" t="s">
        <v>646</v>
      </c>
      <c r="AL288" t="s">
        <v>728</v>
      </c>
      <c r="AP288" t="s">
        <v>729</v>
      </c>
    </row>
    <row r="289" spans="1:74" x14ac:dyDescent="0.2">
      <c r="A289" t="s">
        <v>6684</v>
      </c>
      <c r="B289" t="s">
        <v>7035</v>
      </c>
      <c r="C289" t="s">
        <v>3026</v>
      </c>
      <c r="D289" t="s">
        <v>102</v>
      </c>
      <c r="E289">
        <v>2017</v>
      </c>
      <c r="F289" t="s">
        <v>3027</v>
      </c>
      <c r="G289" s="6" t="s">
        <v>3028</v>
      </c>
      <c r="H289" t="s">
        <v>3029</v>
      </c>
      <c r="J289" t="s">
        <v>3030</v>
      </c>
      <c r="K289" t="s">
        <v>3031</v>
      </c>
      <c r="L289" t="s">
        <v>3032</v>
      </c>
      <c r="M289" t="s">
        <v>3033</v>
      </c>
      <c r="N289">
        <v>2017</v>
      </c>
      <c r="O289" s="1">
        <v>45783.300173611111</v>
      </c>
      <c r="P289" s="1">
        <v>45783.300173611111</v>
      </c>
      <c r="R289" t="s">
        <v>3034</v>
      </c>
      <c r="T289">
        <v>1</v>
      </c>
      <c r="U289">
        <v>47</v>
      </c>
      <c r="W289" t="s">
        <v>3035</v>
      </c>
      <c r="AE289" t="s">
        <v>645</v>
      </c>
      <c r="AH289" t="s">
        <v>646</v>
      </c>
      <c r="AL289" t="s">
        <v>647</v>
      </c>
      <c r="AP289" t="s">
        <v>3036</v>
      </c>
    </row>
    <row r="290" spans="1:74" x14ac:dyDescent="0.2">
      <c r="A290" t="s">
        <v>6684</v>
      </c>
      <c r="B290" t="s">
        <v>7035</v>
      </c>
      <c r="C290" t="s">
        <v>6446</v>
      </c>
      <c r="D290" t="s">
        <v>477</v>
      </c>
      <c r="E290">
        <v>2025</v>
      </c>
      <c r="F290" t="s">
        <v>6447</v>
      </c>
      <c r="G290" s="6" t="s">
        <v>6448</v>
      </c>
      <c r="H290" t="s">
        <v>6449</v>
      </c>
      <c r="I290" t="s">
        <v>6450</v>
      </c>
      <c r="K290" t="s">
        <v>6451</v>
      </c>
      <c r="L290" t="s">
        <v>6452</v>
      </c>
      <c r="N290" s="2">
        <v>45724</v>
      </c>
      <c r="O290" s="1">
        <v>45783.313587962963</v>
      </c>
      <c r="P290" s="1">
        <v>45783.472546296296</v>
      </c>
      <c r="Q290" s="1">
        <v>45783.313587962963</v>
      </c>
      <c r="R290" t="s">
        <v>6453</v>
      </c>
      <c r="AC290" t="s">
        <v>5107</v>
      </c>
      <c r="AD290" t="s">
        <v>5278</v>
      </c>
      <c r="AF290" t="s">
        <v>5109</v>
      </c>
      <c r="AJ290" t="s">
        <v>98</v>
      </c>
      <c r="AP290" t="s">
        <v>6454</v>
      </c>
      <c r="BV290" t="s">
        <v>6449</v>
      </c>
    </row>
    <row r="291" spans="1:74" x14ac:dyDescent="0.2">
      <c r="A291" t="s">
        <v>6684</v>
      </c>
      <c r="B291" t="s">
        <v>7050</v>
      </c>
      <c r="C291" t="s">
        <v>3403</v>
      </c>
      <c r="D291" t="s">
        <v>102</v>
      </c>
      <c r="E291">
        <v>2024</v>
      </c>
      <c r="F291" t="s">
        <v>3404</v>
      </c>
      <c r="G291" s="6" t="s">
        <v>3405</v>
      </c>
      <c r="H291" t="s">
        <v>3406</v>
      </c>
      <c r="J291" t="s">
        <v>3407</v>
      </c>
      <c r="K291" t="s">
        <v>3408</v>
      </c>
      <c r="L291" t="s">
        <v>3409</v>
      </c>
      <c r="M291" t="s">
        <v>3410</v>
      </c>
      <c r="N291" t="s">
        <v>163</v>
      </c>
      <c r="O291" s="1">
        <v>45783.292928240742</v>
      </c>
      <c r="P291" s="1">
        <v>45783.452037037037</v>
      </c>
      <c r="R291" t="s">
        <v>3411</v>
      </c>
      <c r="T291">
        <v>1</v>
      </c>
      <c r="U291">
        <v>27</v>
      </c>
      <c r="AL291" t="s">
        <v>3412</v>
      </c>
      <c r="AN291" t="s">
        <v>3413</v>
      </c>
      <c r="AP291" t="s">
        <v>3414</v>
      </c>
    </row>
    <row r="292" spans="1:74" x14ac:dyDescent="0.2">
      <c r="A292" t="s">
        <v>7034</v>
      </c>
      <c r="B292" t="s">
        <v>7054</v>
      </c>
      <c r="C292" t="s">
        <v>3382</v>
      </c>
      <c r="D292" t="s">
        <v>477</v>
      </c>
      <c r="E292">
        <v>2024</v>
      </c>
      <c r="F292" t="s">
        <v>3383</v>
      </c>
      <c r="G292" s="6" t="s">
        <v>3384</v>
      </c>
      <c r="H292" t="s">
        <v>3385</v>
      </c>
      <c r="I292" t="s">
        <v>3386</v>
      </c>
      <c r="K292" t="s">
        <v>3387</v>
      </c>
      <c r="L292" t="s">
        <v>3388</v>
      </c>
      <c r="M292" t="s">
        <v>3389</v>
      </c>
      <c r="N292">
        <v>2024</v>
      </c>
      <c r="O292" s="1">
        <v>45783.293194444443</v>
      </c>
      <c r="P292" s="1">
        <v>45784.351504629631</v>
      </c>
      <c r="R292" t="s">
        <v>3390</v>
      </c>
      <c r="U292">
        <v>14706</v>
      </c>
      <c r="AC292" t="s">
        <v>3194</v>
      </c>
      <c r="AD292" t="s">
        <v>589</v>
      </c>
      <c r="AL292" t="s">
        <v>3195</v>
      </c>
      <c r="AP292" t="s">
        <v>3391</v>
      </c>
    </row>
    <row r="293" spans="1:74" x14ac:dyDescent="0.2">
      <c r="A293" t="s">
        <v>6684</v>
      </c>
      <c r="B293" t="s">
        <v>6657</v>
      </c>
      <c r="C293" t="s">
        <v>1569</v>
      </c>
      <c r="D293" t="s">
        <v>102</v>
      </c>
      <c r="E293">
        <v>2022</v>
      </c>
      <c r="F293" t="s">
        <v>1570</v>
      </c>
      <c r="G293" s="6" t="s">
        <v>1571</v>
      </c>
      <c r="H293" t="s">
        <v>1572</v>
      </c>
      <c r="J293" t="s">
        <v>1573</v>
      </c>
      <c r="K293" t="s">
        <v>1574</v>
      </c>
      <c r="L293" t="s">
        <v>1575</v>
      </c>
      <c r="M293" t="s">
        <v>1576</v>
      </c>
      <c r="N293">
        <v>2022</v>
      </c>
      <c r="O293" s="1">
        <v>45783.300150462965</v>
      </c>
      <c r="P293" s="1">
        <v>45783.300150462965</v>
      </c>
      <c r="R293" t="s">
        <v>1577</v>
      </c>
      <c r="T293">
        <v>5</v>
      </c>
      <c r="U293">
        <v>30</v>
      </c>
      <c r="W293" t="s">
        <v>1578</v>
      </c>
      <c r="AE293" t="s">
        <v>645</v>
      </c>
      <c r="AH293" t="s">
        <v>646</v>
      </c>
      <c r="AL293" t="s">
        <v>1579</v>
      </c>
      <c r="AP293" t="s">
        <v>1580</v>
      </c>
    </row>
    <row r="294" spans="1:74" x14ac:dyDescent="0.2">
      <c r="A294" t="s">
        <v>7034</v>
      </c>
      <c r="B294" t="s">
        <v>7047</v>
      </c>
      <c r="C294" t="s">
        <v>2611</v>
      </c>
      <c r="D294" t="s">
        <v>102</v>
      </c>
      <c r="E294">
        <v>2017</v>
      </c>
      <c r="F294" t="s">
        <v>2612</v>
      </c>
      <c r="G294" s="6" t="s">
        <v>2613</v>
      </c>
      <c r="H294" t="s">
        <v>2614</v>
      </c>
      <c r="J294" t="s">
        <v>2615</v>
      </c>
      <c r="K294" t="s">
        <v>2616</v>
      </c>
      <c r="L294" t="s">
        <v>2617</v>
      </c>
      <c r="M294" t="s">
        <v>2618</v>
      </c>
      <c r="N294">
        <v>2017</v>
      </c>
      <c r="O294" s="1">
        <v>45783.300162037034</v>
      </c>
      <c r="P294" s="1">
        <v>45783.300162037034</v>
      </c>
      <c r="R294" t="s">
        <v>2619</v>
      </c>
      <c r="T294">
        <v>4</v>
      </c>
      <c r="U294">
        <v>33</v>
      </c>
      <c r="W294" t="s">
        <v>2620</v>
      </c>
      <c r="AE294" t="s">
        <v>645</v>
      </c>
      <c r="AH294" t="s">
        <v>646</v>
      </c>
      <c r="AL294" t="s">
        <v>2159</v>
      </c>
      <c r="AP294" t="s">
        <v>2621</v>
      </c>
    </row>
    <row r="295" spans="1:74" x14ac:dyDescent="0.2">
      <c r="A295" t="s">
        <v>7034</v>
      </c>
      <c r="B295" t="s">
        <v>7047</v>
      </c>
      <c r="C295" t="s">
        <v>5816</v>
      </c>
      <c r="D295" t="s">
        <v>477</v>
      </c>
      <c r="E295">
        <v>2011</v>
      </c>
      <c r="F295" t="s">
        <v>5817</v>
      </c>
      <c r="G295" s="6" t="s">
        <v>5818</v>
      </c>
      <c r="H295" t="s">
        <v>5819</v>
      </c>
      <c r="I295" t="s">
        <v>5820</v>
      </c>
      <c r="K295" t="s">
        <v>5821</v>
      </c>
      <c r="L295" t="s">
        <v>5822</v>
      </c>
      <c r="N295" t="s">
        <v>5823</v>
      </c>
      <c r="O295" s="1">
        <v>45783.311956018515</v>
      </c>
      <c r="P295" s="1">
        <v>45783.311956018515</v>
      </c>
      <c r="Q295" s="1">
        <v>45783.311956018515</v>
      </c>
      <c r="R295" t="s">
        <v>5824</v>
      </c>
      <c r="AC295" t="s">
        <v>5107</v>
      </c>
      <c r="AD295" t="s">
        <v>5825</v>
      </c>
      <c r="AJ295" t="s">
        <v>98</v>
      </c>
      <c r="BV295" t="s">
        <v>5826</v>
      </c>
    </row>
    <row r="296" spans="1:74" x14ac:dyDescent="0.2">
      <c r="A296" t="s">
        <v>7034</v>
      </c>
      <c r="B296" t="s">
        <v>7045</v>
      </c>
      <c r="C296" t="s">
        <v>6356</v>
      </c>
      <c r="D296" t="s">
        <v>477</v>
      </c>
      <c r="E296">
        <v>2017</v>
      </c>
      <c r="F296" t="s">
        <v>6357</v>
      </c>
      <c r="G296" s="6" t="s">
        <v>6358</v>
      </c>
      <c r="H296" t="s">
        <v>6359</v>
      </c>
      <c r="I296" t="s">
        <v>6360</v>
      </c>
      <c r="K296" t="s">
        <v>6361</v>
      </c>
      <c r="L296" t="s">
        <v>6362</v>
      </c>
      <c r="N296" t="s">
        <v>5772</v>
      </c>
      <c r="O296" s="1">
        <v>45783.31349537037</v>
      </c>
      <c r="P296" s="1">
        <v>45783.31349537037</v>
      </c>
      <c r="Q296" s="1">
        <v>45783.31349537037</v>
      </c>
      <c r="R296" t="s">
        <v>6363</v>
      </c>
      <c r="AC296" t="s">
        <v>5107</v>
      </c>
      <c r="AD296" t="s">
        <v>6364</v>
      </c>
      <c r="AJ296" t="s">
        <v>98</v>
      </c>
      <c r="BV296" t="s">
        <v>6359</v>
      </c>
    </row>
    <row r="297" spans="1:74" x14ac:dyDescent="0.2">
      <c r="A297" t="s">
        <v>6684</v>
      </c>
      <c r="B297" t="s">
        <v>7036</v>
      </c>
      <c r="C297" t="s">
        <v>2361</v>
      </c>
      <c r="D297" t="s">
        <v>477</v>
      </c>
      <c r="E297">
        <v>2015</v>
      </c>
      <c r="F297" t="s">
        <v>2362</v>
      </c>
      <c r="G297" s="6" t="s">
        <v>2363</v>
      </c>
      <c r="H297" t="s">
        <v>2364</v>
      </c>
      <c r="I297" t="s">
        <v>2365</v>
      </c>
      <c r="K297" t="s">
        <v>2366</v>
      </c>
      <c r="L297" t="s">
        <v>2367</v>
      </c>
      <c r="M297" t="s">
        <v>2368</v>
      </c>
      <c r="N297">
        <v>2015</v>
      </c>
      <c r="O297" s="1">
        <v>45783.300162037034</v>
      </c>
      <c r="P297" s="1">
        <v>45783.300162037034</v>
      </c>
      <c r="R297" t="s">
        <v>2369</v>
      </c>
      <c r="AC297" t="s">
        <v>681</v>
      </c>
      <c r="AE297" t="s">
        <v>645</v>
      </c>
      <c r="AH297" t="s">
        <v>646</v>
      </c>
      <c r="AL297" t="s">
        <v>2370</v>
      </c>
      <c r="AP297" t="s">
        <v>2371</v>
      </c>
      <c r="AR297" t="s">
        <v>2372</v>
      </c>
      <c r="BV297" t="s">
        <v>2373</v>
      </c>
    </row>
    <row r="298" spans="1:74" x14ac:dyDescent="0.2">
      <c r="A298" t="s">
        <v>6684</v>
      </c>
      <c r="B298" t="s">
        <v>7035</v>
      </c>
      <c r="C298" t="s">
        <v>5696</v>
      </c>
      <c r="D298" t="s">
        <v>477</v>
      </c>
      <c r="E298">
        <v>2021</v>
      </c>
      <c r="F298" t="s">
        <v>5697</v>
      </c>
      <c r="G298" s="6" t="s">
        <v>5698</v>
      </c>
      <c r="H298" t="s">
        <v>5699</v>
      </c>
      <c r="I298" t="s">
        <v>5700</v>
      </c>
      <c r="K298" t="s">
        <v>5701</v>
      </c>
      <c r="L298" t="s">
        <v>5702</v>
      </c>
      <c r="N298" t="s">
        <v>5703</v>
      </c>
      <c r="O298" s="1">
        <v>45783.311759259261</v>
      </c>
      <c r="P298" s="1">
        <v>45783.311759259261</v>
      </c>
      <c r="Q298" s="1">
        <v>45783.311759259261</v>
      </c>
      <c r="R298" t="s">
        <v>5704</v>
      </c>
      <c r="AC298" t="s">
        <v>5107</v>
      </c>
      <c r="AD298" t="s">
        <v>5705</v>
      </c>
      <c r="AF298" t="s">
        <v>5140</v>
      </c>
      <c r="AJ298" t="s">
        <v>98</v>
      </c>
      <c r="AN298" t="s">
        <v>5706</v>
      </c>
      <c r="BV298" t="s">
        <v>5699</v>
      </c>
    </row>
    <row r="299" spans="1:74" x14ac:dyDescent="0.2">
      <c r="A299" t="s">
        <v>6684</v>
      </c>
      <c r="B299" t="s">
        <v>7036</v>
      </c>
      <c r="C299" t="s">
        <v>5714</v>
      </c>
      <c r="D299" t="s">
        <v>477</v>
      </c>
      <c r="E299">
        <v>2020</v>
      </c>
      <c r="F299" t="s">
        <v>5715</v>
      </c>
      <c r="G299" s="6" t="s">
        <v>5716</v>
      </c>
      <c r="H299" t="s">
        <v>5717</v>
      </c>
      <c r="I299" t="s">
        <v>5718</v>
      </c>
      <c r="K299" t="s">
        <v>5719</v>
      </c>
      <c r="L299" t="s">
        <v>5720</v>
      </c>
      <c r="N299" t="s">
        <v>5150</v>
      </c>
      <c r="O299" s="1">
        <v>45783.311793981484</v>
      </c>
      <c r="P299" s="1">
        <v>45783.311793981484</v>
      </c>
      <c r="Q299" s="1">
        <v>45783.311793981484</v>
      </c>
      <c r="R299" t="s">
        <v>5721</v>
      </c>
      <c r="AC299" t="s">
        <v>5107</v>
      </c>
      <c r="AD299" t="s">
        <v>5152</v>
      </c>
      <c r="AF299" t="s">
        <v>5140</v>
      </c>
      <c r="AJ299" t="s">
        <v>98</v>
      </c>
      <c r="AN299" t="s">
        <v>5722</v>
      </c>
      <c r="BV299" t="s">
        <v>5717</v>
      </c>
    </row>
    <row r="300" spans="1:74" x14ac:dyDescent="0.2">
      <c r="A300" t="s">
        <v>7034</v>
      </c>
      <c r="B300" t="s">
        <v>7047</v>
      </c>
      <c r="C300" t="s">
        <v>4129</v>
      </c>
      <c r="D300" t="s">
        <v>477</v>
      </c>
      <c r="E300">
        <v>2019</v>
      </c>
      <c r="F300" t="s">
        <v>4130</v>
      </c>
      <c r="G300" s="6" t="s">
        <v>4131</v>
      </c>
      <c r="H300" t="s">
        <v>4132</v>
      </c>
      <c r="I300" t="s">
        <v>4133</v>
      </c>
      <c r="K300" t="s">
        <v>4134</v>
      </c>
      <c r="L300" t="s">
        <v>4135</v>
      </c>
      <c r="M300" t="s">
        <v>4136</v>
      </c>
      <c r="N300">
        <v>2019</v>
      </c>
      <c r="O300" s="1">
        <v>45783.306377314817</v>
      </c>
      <c r="P300" s="1">
        <v>45783.306377314817</v>
      </c>
      <c r="Y300" t="s">
        <v>4137</v>
      </c>
      <c r="AC300" t="s">
        <v>1167</v>
      </c>
      <c r="AD300" t="s">
        <v>3218</v>
      </c>
      <c r="AL300" t="s">
        <v>4138</v>
      </c>
      <c r="AP300" t="s">
        <v>4139</v>
      </c>
    </row>
    <row r="301" spans="1:74" x14ac:dyDescent="0.2">
      <c r="A301" t="s">
        <v>6684</v>
      </c>
      <c r="B301" t="s">
        <v>7036</v>
      </c>
      <c r="C301" t="s">
        <v>3791</v>
      </c>
      <c r="D301" t="s">
        <v>477</v>
      </c>
      <c r="E301">
        <v>2022</v>
      </c>
      <c r="F301" t="s">
        <v>3792</v>
      </c>
      <c r="G301" s="6" t="s">
        <v>3793</v>
      </c>
      <c r="H301" t="s">
        <v>3794</v>
      </c>
      <c r="I301" t="s">
        <v>3795</v>
      </c>
      <c r="K301" t="s">
        <v>3796</v>
      </c>
      <c r="L301" t="s">
        <v>3797</v>
      </c>
      <c r="M301" t="s">
        <v>3798</v>
      </c>
      <c r="N301">
        <v>2022</v>
      </c>
      <c r="O301" s="1">
        <v>45783.30636574074</v>
      </c>
      <c r="P301" s="1">
        <v>45783.30636574074</v>
      </c>
      <c r="Y301" t="s">
        <v>3799</v>
      </c>
      <c r="AC301" t="s">
        <v>1167</v>
      </c>
      <c r="AD301" t="s">
        <v>3218</v>
      </c>
      <c r="AL301" t="s">
        <v>3800</v>
      </c>
      <c r="AP301" t="s">
        <v>3801</v>
      </c>
    </row>
    <row r="302" spans="1:74" x14ac:dyDescent="0.2">
      <c r="A302" t="s">
        <v>6684</v>
      </c>
      <c r="B302" t="s">
        <v>7035</v>
      </c>
      <c r="C302" t="s">
        <v>4694</v>
      </c>
      <c r="D302" t="s">
        <v>102</v>
      </c>
      <c r="E302">
        <v>2020</v>
      </c>
      <c r="F302" t="s">
        <v>4695</v>
      </c>
      <c r="G302" s="6" t="s">
        <v>4696</v>
      </c>
      <c r="H302" t="s">
        <v>4417</v>
      </c>
      <c r="J302" t="s">
        <v>4418</v>
      </c>
      <c r="K302" t="s">
        <v>4697</v>
      </c>
      <c r="L302" t="s">
        <v>4698</v>
      </c>
      <c r="M302" t="s">
        <v>4699</v>
      </c>
      <c r="N302" t="s">
        <v>3947</v>
      </c>
      <c r="O302" s="1">
        <v>45783.306377314817</v>
      </c>
      <c r="P302" s="1">
        <v>45783.306377314817</v>
      </c>
      <c r="R302" t="s">
        <v>4700</v>
      </c>
      <c r="T302">
        <v>6</v>
      </c>
      <c r="U302">
        <v>24</v>
      </c>
      <c r="AL302" t="s">
        <v>3897</v>
      </c>
      <c r="AP302" t="s">
        <v>4701</v>
      </c>
    </row>
    <row r="303" spans="1:74" x14ac:dyDescent="0.2">
      <c r="A303" t="s">
        <v>6684</v>
      </c>
      <c r="B303" t="s">
        <v>6685</v>
      </c>
      <c r="C303" t="s">
        <v>6515</v>
      </c>
      <c r="D303" t="s">
        <v>477</v>
      </c>
      <c r="E303">
        <v>2025</v>
      </c>
      <c r="F303" t="s">
        <v>6516</v>
      </c>
      <c r="G303" s="6" t="s">
        <v>6517</v>
      </c>
      <c r="H303" t="s">
        <v>6518</v>
      </c>
      <c r="I303" t="s">
        <v>6519</v>
      </c>
      <c r="K303" t="s">
        <v>6520</v>
      </c>
      <c r="L303" t="s">
        <v>6521</v>
      </c>
      <c r="N303" s="2">
        <v>45681</v>
      </c>
      <c r="O303" s="1">
        <v>45783.313703703701</v>
      </c>
      <c r="P303" s="1">
        <v>45783.405092592591</v>
      </c>
      <c r="Q303" s="1">
        <v>45783.313703703701</v>
      </c>
      <c r="R303" s="3">
        <v>45809</v>
      </c>
      <c r="AC303" t="s">
        <v>5107</v>
      </c>
      <c r="AD303" t="s">
        <v>6522</v>
      </c>
      <c r="AF303" t="s">
        <v>5109</v>
      </c>
      <c r="AJ303" t="s">
        <v>98</v>
      </c>
      <c r="AP303" t="s">
        <v>6523</v>
      </c>
      <c r="BV303" t="s">
        <v>6518</v>
      </c>
    </row>
    <row r="304" spans="1:74" x14ac:dyDescent="0.2">
      <c r="A304" t="s">
        <v>7034</v>
      </c>
      <c r="B304" t="s">
        <v>6668</v>
      </c>
      <c r="C304" t="s">
        <v>1620</v>
      </c>
      <c r="D304" t="s">
        <v>477</v>
      </c>
      <c r="E304">
        <v>2020</v>
      </c>
      <c r="F304" t="s">
        <v>1621</v>
      </c>
      <c r="G304" s="6" t="s">
        <v>1622</v>
      </c>
      <c r="H304" t="s">
        <v>1623</v>
      </c>
      <c r="I304" t="s">
        <v>1624</v>
      </c>
      <c r="L304" t="s">
        <v>1625</v>
      </c>
      <c r="M304" t="s">
        <v>1626</v>
      </c>
      <c r="N304">
        <v>2020</v>
      </c>
      <c r="O304" s="1">
        <v>45783.300150462965</v>
      </c>
      <c r="P304" s="1">
        <v>45783.300150462965</v>
      </c>
      <c r="R304" t="s">
        <v>1627</v>
      </c>
      <c r="U304">
        <v>2</v>
      </c>
      <c r="AC304" t="s">
        <v>1628</v>
      </c>
      <c r="AE304" t="s">
        <v>645</v>
      </c>
      <c r="AH304" t="s">
        <v>646</v>
      </c>
      <c r="AL304" t="s">
        <v>1629</v>
      </c>
      <c r="AP304" t="s">
        <v>1630</v>
      </c>
      <c r="AR304" t="s">
        <v>1631</v>
      </c>
      <c r="BV304" t="s">
        <v>1632</v>
      </c>
    </row>
    <row r="305" spans="1:74" x14ac:dyDescent="0.2">
      <c r="A305" t="s">
        <v>7034</v>
      </c>
      <c r="B305" t="s">
        <v>7052</v>
      </c>
      <c r="C305" t="s">
        <v>121</v>
      </c>
      <c r="D305" t="s">
        <v>88</v>
      </c>
      <c r="E305">
        <v>2025</v>
      </c>
      <c r="F305" t="s">
        <v>122</v>
      </c>
      <c r="G305" s="6" t="s">
        <v>123</v>
      </c>
      <c r="H305" t="s">
        <v>124</v>
      </c>
      <c r="I305" t="s">
        <v>125</v>
      </c>
      <c r="L305" t="s">
        <v>126</v>
      </c>
      <c r="N305">
        <v>2025</v>
      </c>
      <c r="O305" s="1">
        <v>45783.292939814812</v>
      </c>
      <c r="P305" s="1">
        <v>45783.292939814812</v>
      </c>
      <c r="Q305" s="1">
        <v>45783.292939814812</v>
      </c>
      <c r="R305" t="s">
        <v>127</v>
      </c>
      <c r="U305">
        <v>2319</v>
      </c>
      <c r="AC305" t="s">
        <v>95</v>
      </c>
      <c r="AD305" t="s">
        <v>96</v>
      </c>
      <c r="AE305" t="s">
        <v>97</v>
      </c>
      <c r="AJ305" t="s">
        <v>98</v>
      </c>
      <c r="AL305" t="s">
        <v>128</v>
      </c>
      <c r="AR305" t="s">
        <v>129</v>
      </c>
    </row>
    <row r="306" spans="1:74" x14ac:dyDescent="0.2">
      <c r="A306" t="s">
        <v>7034</v>
      </c>
      <c r="B306" t="s">
        <v>6658</v>
      </c>
      <c r="C306" t="s">
        <v>427</v>
      </c>
      <c r="D306" t="s">
        <v>102</v>
      </c>
      <c r="E306">
        <v>2021</v>
      </c>
      <c r="F306" t="s">
        <v>428</v>
      </c>
      <c r="G306" s="6" t="s">
        <v>429</v>
      </c>
      <c r="H306" t="s">
        <v>133</v>
      </c>
      <c r="J306" t="s">
        <v>134</v>
      </c>
      <c r="K306" t="s">
        <v>430</v>
      </c>
      <c r="L306" t="s">
        <v>431</v>
      </c>
      <c r="M306" t="s">
        <v>432</v>
      </c>
      <c r="N306" t="s">
        <v>433</v>
      </c>
      <c r="O306" s="1">
        <v>45783.293414351851</v>
      </c>
      <c r="P306" s="1">
        <v>45783.293414351851</v>
      </c>
      <c r="Q306" s="1">
        <v>45783.293414351851</v>
      </c>
      <c r="R306">
        <v>68</v>
      </c>
      <c r="T306">
        <v>1</v>
      </c>
      <c r="U306">
        <v>18</v>
      </c>
      <c r="W306" t="s">
        <v>138</v>
      </c>
      <c r="X306" t="s">
        <v>434</v>
      </c>
      <c r="AE306" t="s">
        <v>97</v>
      </c>
      <c r="AJ306" t="s">
        <v>98</v>
      </c>
      <c r="AN306" t="s">
        <v>435</v>
      </c>
    </row>
    <row r="307" spans="1:74" x14ac:dyDescent="0.2">
      <c r="A307" t="s">
        <v>6684</v>
      </c>
      <c r="B307" t="s">
        <v>7035</v>
      </c>
      <c r="C307" t="s">
        <v>6327</v>
      </c>
      <c r="D307" t="s">
        <v>477</v>
      </c>
      <c r="E307">
        <v>2007</v>
      </c>
      <c r="F307" t="s">
        <v>6328</v>
      </c>
      <c r="G307" s="6" t="s">
        <v>6329</v>
      </c>
      <c r="H307" t="s">
        <v>6330</v>
      </c>
      <c r="I307" t="s">
        <v>6331</v>
      </c>
      <c r="K307" t="s">
        <v>6332</v>
      </c>
      <c r="L307" t="s">
        <v>6333</v>
      </c>
      <c r="N307" t="s">
        <v>6334</v>
      </c>
      <c r="O307" s="1">
        <v>45783.313472222224</v>
      </c>
      <c r="P307" s="1">
        <v>45783.313472222224</v>
      </c>
      <c r="Q307" s="1">
        <v>45783.313472222224</v>
      </c>
      <c r="R307" s="3">
        <v>45809</v>
      </c>
      <c r="AC307" t="s">
        <v>5107</v>
      </c>
      <c r="AD307" t="s">
        <v>6335</v>
      </c>
      <c r="AJ307" t="s">
        <v>98</v>
      </c>
      <c r="BV307" t="s">
        <v>6330</v>
      </c>
    </row>
    <row r="308" spans="1:74" x14ac:dyDescent="0.2">
      <c r="A308" t="s">
        <v>6684</v>
      </c>
      <c r="B308" t="s">
        <v>7035</v>
      </c>
      <c r="C308" t="s">
        <v>2815</v>
      </c>
      <c r="D308" t="s">
        <v>477</v>
      </c>
      <c r="E308">
        <v>2019</v>
      </c>
      <c r="F308" t="s">
        <v>2816</v>
      </c>
      <c r="G308" s="6" t="s">
        <v>2817</v>
      </c>
      <c r="H308" t="s">
        <v>990</v>
      </c>
      <c r="I308" t="s">
        <v>2818</v>
      </c>
      <c r="K308" t="s">
        <v>2819</v>
      </c>
      <c r="L308" t="s">
        <v>2820</v>
      </c>
      <c r="M308" t="s">
        <v>2821</v>
      </c>
      <c r="N308">
        <v>2019</v>
      </c>
      <c r="O308" s="1">
        <v>45783.300162037034</v>
      </c>
      <c r="P308" s="1">
        <v>45783.300162037034</v>
      </c>
      <c r="R308" t="s">
        <v>2822</v>
      </c>
      <c r="U308">
        <v>52</v>
      </c>
      <c r="AC308" t="s">
        <v>860</v>
      </c>
      <c r="AE308" t="s">
        <v>645</v>
      </c>
      <c r="AH308" t="s">
        <v>646</v>
      </c>
      <c r="AL308" t="s">
        <v>2823</v>
      </c>
      <c r="AP308" t="s">
        <v>2824</v>
      </c>
      <c r="AR308" t="s">
        <v>2825</v>
      </c>
      <c r="BV308" t="s">
        <v>990</v>
      </c>
    </row>
    <row r="309" spans="1:74" x14ac:dyDescent="0.2">
      <c r="A309" t="s">
        <v>7034</v>
      </c>
      <c r="B309" t="s">
        <v>7048</v>
      </c>
      <c r="C309" t="s">
        <v>2749</v>
      </c>
      <c r="D309" t="s">
        <v>477</v>
      </c>
      <c r="E309">
        <v>2019</v>
      </c>
      <c r="F309" t="s">
        <v>2750</v>
      </c>
      <c r="G309" s="6" t="s">
        <v>2751</v>
      </c>
      <c r="H309" t="s">
        <v>1185</v>
      </c>
      <c r="I309" t="s">
        <v>2752</v>
      </c>
      <c r="K309" t="s">
        <v>2753</v>
      </c>
      <c r="L309" t="s">
        <v>2754</v>
      </c>
      <c r="M309" t="s">
        <v>2755</v>
      </c>
      <c r="N309">
        <v>2019</v>
      </c>
      <c r="O309" s="1">
        <v>45783.300162037034</v>
      </c>
      <c r="P309" s="1">
        <v>45783.300162037034</v>
      </c>
      <c r="R309" t="s">
        <v>2756</v>
      </c>
      <c r="U309" t="s">
        <v>2757</v>
      </c>
      <c r="AC309" t="s">
        <v>2306</v>
      </c>
      <c r="AE309" t="s">
        <v>645</v>
      </c>
      <c r="AH309" t="s">
        <v>646</v>
      </c>
      <c r="AL309" t="s">
        <v>1191</v>
      </c>
      <c r="AP309" t="s">
        <v>2758</v>
      </c>
      <c r="AR309" t="s">
        <v>2759</v>
      </c>
      <c r="BV309" t="s">
        <v>1194</v>
      </c>
    </row>
    <row r="310" spans="1:74" x14ac:dyDescent="0.2">
      <c r="A310" t="s">
        <v>6684</v>
      </c>
      <c r="B310" t="s">
        <v>6657</v>
      </c>
      <c r="C310" t="s">
        <v>2581</v>
      </c>
      <c r="D310" t="s">
        <v>477</v>
      </c>
      <c r="E310">
        <v>2015</v>
      </c>
      <c r="F310" t="s">
        <v>2582</v>
      </c>
      <c r="G310" s="6" t="s">
        <v>2583</v>
      </c>
      <c r="H310" t="s">
        <v>2584</v>
      </c>
      <c r="I310" t="s">
        <v>2585</v>
      </c>
      <c r="L310" t="s">
        <v>2586</v>
      </c>
      <c r="M310" t="s">
        <v>2587</v>
      </c>
      <c r="N310">
        <v>2015</v>
      </c>
      <c r="O310" s="1">
        <v>45783.300162037034</v>
      </c>
      <c r="P310" s="1">
        <v>45783.300162037034</v>
      </c>
      <c r="R310" t="s">
        <v>2588</v>
      </c>
      <c r="U310">
        <v>3</v>
      </c>
      <c r="AC310" t="s">
        <v>2318</v>
      </c>
      <c r="AE310" t="s">
        <v>645</v>
      </c>
      <c r="AH310" t="s">
        <v>646</v>
      </c>
      <c r="AL310" t="s">
        <v>2589</v>
      </c>
      <c r="AP310" t="s">
        <v>2590</v>
      </c>
      <c r="BV310" t="s">
        <v>2591</v>
      </c>
    </row>
    <row r="311" spans="1:74" x14ac:dyDescent="0.2">
      <c r="A311" t="s">
        <v>6684</v>
      </c>
      <c r="B311" t="s">
        <v>6685</v>
      </c>
      <c r="C311" t="s">
        <v>3056</v>
      </c>
      <c r="D311" t="s">
        <v>102</v>
      </c>
      <c r="E311">
        <v>2018</v>
      </c>
      <c r="F311" t="s">
        <v>3057</v>
      </c>
      <c r="G311" s="6" t="s">
        <v>3058</v>
      </c>
      <c r="H311" t="s">
        <v>3029</v>
      </c>
      <c r="J311" t="s">
        <v>3030</v>
      </c>
      <c r="K311" t="s">
        <v>3059</v>
      </c>
      <c r="L311" t="s">
        <v>3060</v>
      </c>
      <c r="M311" t="s">
        <v>3061</v>
      </c>
      <c r="N311">
        <v>2018</v>
      </c>
      <c r="O311" s="1">
        <v>45783.300173611111</v>
      </c>
      <c r="P311" s="1">
        <v>45783.300173611111</v>
      </c>
      <c r="R311" t="s">
        <v>3062</v>
      </c>
      <c r="T311">
        <v>4</v>
      </c>
      <c r="U311">
        <v>48</v>
      </c>
      <c r="W311" t="s">
        <v>3035</v>
      </c>
      <c r="AE311" t="s">
        <v>645</v>
      </c>
      <c r="AH311" t="s">
        <v>646</v>
      </c>
      <c r="AL311" t="s">
        <v>647</v>
      </c>
      <c r="AP311" t="s">
        <v>3063</v>
      </c>
    </row>
    <row r="312" spans="1:74" x14ac:dyDescent="0.2">
      <c r="A312" t="s">
        <v>6684</v>
      </c>
      <c r="B312" t="s">
        <v>7035</v>
      </c>
      <c r="C312" t="s">
        <v>5652</v>
      </c>
      <c r="D312" t="s">
        <v>477</v>
      </c>
      <c r="E312">
        <v>2021</v>
      </c>
      <c r="F312" t="s">
        <v>5653</v>
      </c>
      <c r="G312" s="6" t="s">
        <v>5654</v>
      </c>
      <c r="H312" t="s">
        <v>5397</v>
      </c>
      <c r="I312" t="s">
        <v>5398</v>
      </c>
      <c r="K312" t="s">
        <v>5655</v>
      </c>
      <c r="L312" t="s">
        <v>5656</v>
      </c>
      <c r="N312" t="s">
        <v>5401</v>
      </c>
      <c r="O312" s="1">
        <v>45783.311712962961</v>
      </c>
      <c r="P312" s="1">
        <v>45783.311712962961</v>
      </c>
      <c r="Q312" s="1">
        <v>45783.311712962961</v>
      </c>
      <c r="R312" t="s">
        <v>5657</v>
      </c>
      <c r="X312" t="s">
        <v>5658</v>
      </c>
      <c r="AC312" t="s">
        <v>5107</v>
      </c>
      <c r="AD312" t="s">
        <v>5404</v>
      </c>
      <c r="AF312" t="s">
        <v>5140</v>
      </c>
      <c r="AJ312" t="s">
        <v>98</v>
      </c>
      <c r="BV312" t="s">
        <v>5397</v>
      </c>
    </row>
    <row r="313" spans="1:74" x14ac:dyDescent="0.2">
      <c r="A313" t="s">
        <v>6684</v>
      </c>
      <c r="B313" t="s">
        <v>7035</v>
      </c>
      <c r="C313" t="s">
        <v>4563</v>
      </c>
      <c r="D313" t="s">
        <v>477</v>
      </c>
      <c r="E313">
        <v>2020</v>
      </c>
      <c r="F313" t="s">
        <v>4564</v>
      </c>
      <c r="G313" s="6" t="s">
        <v>4565</v>
      </c>
      <c r="H313" t="s">
        <v>4566</v>
      </c>
      <c r="I313" t="s">
        <v>4567</v>
      </c>
      <c r="K313" t="s">
        <v>4568</v>
      </c>
      <c r="L313" t="s">
        <v>4569</v>
      </c>
      <c r="M313" t="s">
        <v>4570</v>
      </c>
      <c r="N313">
        <v>2020</v>
      </c>
      <c r="O313" s="1">
        <v>45783.306377314817</v>
      </c>
      <c r="P313" s="1">
        <v>45783.306377314817</v>
      </c>
      <c r="R313" t="s">
        <v>4571</v>
      </c>
      <c r="AC313" t="s">
        <v>3194</v>
      </c>
      <c r="AD313" t="s">
        <v>589</v>
      </c>
      <c r="AL313" t="s">
        <v>3206</v>
      </c>
      <c r="AP313" t="s">
        <v>4572</v>
      </c>
    </row>
    <row r="314" spans="1:74" x14ac:dyDescent="0.2">
      <c r="A314" t="s">
        <v>6684</v>
      </c>
      <c r="B314" t="s">
        <v>6654</v>
      </c>
      <c r="C314" t="s">
        <v>3899</v>
      </c>
      <c r="D314" t="s">
        <v>477</v>
      </c>
      <c r="E314">
        <v>2025</v>
      </c>
      <c r="F314" t="s">
        <v>3900</v>
      </c>
      <c r="G314" s="6" t="s">
        <v>3901</v>
      </c>
      <c r="H314" t="s">
        <v>3902</v>
      </c>
      <c r="M314" t="s">
        <v>3903</v>
      </c>
      <c r="N314">
        <v>2025</v>
      </c>
      <c r="O314" s="1">
        <v>45783.306377314817</v>
      </c>
      <c r="P314" s="1">
        <v>45783.306377314817</v>
      </c>
      <c r="R314" t="s">
        <v>3904</v>
      </c>
      <c r="Y314" t="s">
        <v>3905</v>
      </c>
      <c r="AC314" t="s">
        <v>3380</v>
      </c>
      <c r="AD314" t="s">
        <v>3906</v>
      </c>
      <c r="AP314" t="s">
        <v>3907</v>
      </c>
    </row>
    <row r="315" spans="1:74" x14ac:dyDescent="0.2">
      <c r="A315" t="s">
        <v>6684</v>
      </c>
      <c r="B315" t="s">
        <v>7050</v>
      </c>
      <c r="C315" t="s">
        <v>2419</v>
      </c>
      <c r="D315" t="s">
        <v>477</v>
      </c>
      <c r="E315">
        <v>2007</v>
      </c>
      <c r="F315" t="s">
        <v>2420</v>
      </c>
      <c r="G315" s="6" t="s">
        <v>2421</v>
      </c>
      <c r="H315" t="s">
        <v>2422</v>
      </c>
      <c r="I315" t="s">
        <v>2423</v>
      </c>
      <c r="K315" t="s">
        <v>2424</v>
      </c>
      <c r="L315" t="s">
        <v>2425</v>
      </c>
      <c r="M315" t="s">
        <v>2426</v>
      </c>
      <c r="N315">
        <v>2007</v>
      </c>
      <c r="O315" s="1">
        <v>45783.300162037034</v>
      </c>
      <c r="P315" s="1">
        <v>45783.300162037034</v>
      </c>
      <c r="R315" t="s">
        <v>2427</v>
      </c>
      <c r="AE315" t="s">
        <v>645</v>
      </c>
      <c r="AH315" t="s">
        <v>646</v>
      </c>
      <c r="AL315" t="s">
        <v>2428</v>
      </c>
      <c r="AP315" t="s">
        <v>2429</v>
      </c>
      <c r="BV315" t="s">
        <v>2430</v>
      </c>
    </row>
    <row r="316" spans="1:74" x14ac:dyDescent="0.2">
      <c r="A316" t="s">
        <v>7034</v>
      </c>
      <c r="B316" t="s">
        <v>7048</v>
      </c>
      <c r="C316" s="5" t="s">
        <v>1822</v>
      </c>
      <c r="D316" t="s">
        <v>102</v>
      </c>
      <c r="E316">
        <v>2021</v>
      </c>
      <c r="F316" t="s">
        <v>1823</v>
      </c>
      <c r="G316" s="6" t="s">
        <v>1824</v>
      </c>
      <c r="H316" t="s">
        <v>1825</v>
      </c>
      <c r="J316" t="s">
        <v>1826</v>
      </c>
      <c r="K316" t="s">
        <v>1827</v>
      </c>
      <c r="L316" t="s">
        <v>1828</v>
      </c>
      <c r="M316" t="s">
        <v>1829</v>
      </c>
      <c r="N316">
        <v>2021</v>
      </c>
      <c r="O316" s="1">
        <v>45783.300162037034</v>
      </c>
      <c r="P316" s="1">
        <v>45783.300162037034</v>
      </c>
      <c r="R316" t="s">
        <v>1830</v>
      </c>
      <c r="T316">
        <v>1</v>
      </c>
      <c r="U316">
        <v>13</v>
      </c>
      <c r="W316" t="s">
        <v>1831</v>
      </c>
      <c r="AE316" t="s">
        <v>645</v>
      </c>
      <c r="AH316" t="s">
        <v>646</v>
      </c>
      <c r="AL316" t="s">
        <v>1156</v>
      </c>
      <c r="AP316" t="s">
        <v>1832</v>
      </c>
    </row>
    <row r="317" spans="1:74" x14ac:dyDescent="0.2">
      <c r="A317" t="s">
        <v>6684</v>
      </c>
      <c r="B317" t="s">
        <v>7035</v>
      </c>
      <c r="C317" t="s">
        <v>1129</v>
      </c>
      <c r="D317" t="s">
        <v>102</v>
      </c>
      <c r="E317">
        <v>2025</v>
      </c>
      <c r="F317" t="s">
        <v>1130</v>
      </c>
      <c r="G317" s="6" t="s">
        <v>1131</v>
      </c>
      <c r="H317" t="s">
        <v>1132</v>
      </c>
      <c r="J317" t="s">
        <v>1133</v>
      </c>
      <c r="K317" t="s">
        <v>1134</v>
      </c>
      <c r="L317" t="s">
        <v>1135</v>
      </c>
      <c r="M317" t="s">
        <v>1136</v>
      </c>
      <c r="N317">
        <v>2025</v>
      </c>
      <c r="O317" s="1">
        <v>45783.300150462965</v>
      </c>
      <c r="P317" s="1">
        <v>45783.300150462965</v>
      </c>
      <c r="U317">
        <v>6</v>
      </c>
      <c r="W317" t="s">
        <v>1137</v>
      </c>
      <c r="AE317" t="s">
        <v>645</v>
      </c>
      <c r="AH317" t="s">
        <v>646</v>
      </c>
      <c r="AL317" t="s">
        <v>728</v>
      </c>
      <c r="AP317" t="s">
        <v>1138</v>
      </c>
    </row>
    <row r="318" spans="1:74" x14ac:dyDescent="0.2">
      <c r="A318" t="s">
        <v>6684</v>
      </c>
      <c r="B318" t="s">
        <v>7050</v>
      </c>
      <c r="C318" t="s">
        <v>3671</v>
      </c>
      <c r="D318" t="s">
        <v>477</v>
      </c>
      <c r="E318">
        <v>2019</v>
      </c>
      <c r="F318" t="s">
        <v>3672</v>
      </c>
      <c r="G318" s="6" t="s">
        <v>3673</v>
      </c>
      <c r="H318" t="s">
        <v>3674</v>
      </c>
      <c r="I318" t="s">
        <v>3675</v>
      </c>
      <c r="K318" t="s">
        <v>3676</v>
      </c>
      <c r="L318" t="s">
        <v>3677</v>
      </c>
      <c r="M318" t="s">
        <v>3678</v>
      </c>
      <c r="N318">
        <v>2019</v>
      </c>
      <c r="O318" s="1">
        <v>45783.293645833335</v>
      </c>
      <c r="P318" s="1">
        <v>45784.350590277776</v>
      </c>
      <c r="R318" t="s">
        <v>3679</v>
      </c>
      <c r="U318">
        <v>11596</v>
      </c>
      <c r="AC318" t="s">
        <v>3194</v>
      </c>
      <c r="AD318" t="s">
        <v>589</v>
      </c>
      <c r="AL318" t="s">
        <v>3680</v>
      </c>
      <c r="AP318" t="s">
        <v>3681</v>
      </c>
    </row>
    <row r="319" spans="1:74" x14ac:dyDescent="0.2">
      <c r="A319" t="s">
        <v>6684</v>
      </c>
      <c r="B319" t="s">
        <v>6685</v>
      </c>
      <c r="C319" t="s">
        <v>1352</v>
      </c>
      <c r="D319" t="s">
        <v>477</v>
      </c>
      <c r="E319">
        <v>2023</v>
      </c>
      <c r="F319" t="s">
        <v>1353</v>
      </c>
      <c r="G319" s="6" t="s">
        <v>1354</v>
      </c>
      <c r="H319" t="s">
        <v>1355</v>
      </c>
      <c r="I319" t="s">
        <v>1356</v>
      </c>
      <c r="K319" t="s">
        <v>1357</v>
      </c>
      <c r="L319" t="s">
        <v>1358</v>
      </c>
      <c r="M319" t="s">
        <v>1359</v>
      </c>
      <c r="N319">
        <v>2023</v>
      </c>
      <c r="O319" s="1">
        <v>45783.300150462965</v>
      </c>
      <c r="P319" s="1">
        <v>45783.300150462965</v>
      </c>
      <c r="AC319" t="s">
        <v>681</v>
      </c>
      <c r="AE319" t="s">
        <v>645</v>
      </c>
      <c r="AH319" t="s">
        <v>646</v>
      </c>
      <c r="AL319" t="s">
        <v>1360</v>
      </c>
      <c r="AP319" t="s">
        <v>1361</v>
      </c>
      <c r="BV319" t="s">
        <v>1362</v>
      </c>
    </row>
    <row r="320" spans="1:74" x14ac:dyDescent="0.2">
      <c r="A320" t="s">
        <v>7034</v>
      </c>
      <c r="B320" t="s">
        <v>7045</v>
      </c>
      <c r="C320" t="s">
        <v>4580</v>
      </c>
      <c r="D320" t="s">
        <v>477</v>
      </c>
      <c r="E320">
        <v>2018</v>
      </c>
      <c r="F320" t="s">
        <v>4581</v>
      </c>
      <c r="G320" s="6" t="s">
        <v>4582</v>
      </c>
      <c r="H320" t="s">
        <v>4583</v>
      </c>
      <c r="I320" t="s">
        <v>4584</v>
      </c>
      <c r="K320" t="s">
        <v>4585</v>
      </c>
      <c r="L320" t="s">
        <v>4586</v>
      </c>
      <c r="M320" t="s">
        <v>4587</v>
      </c>
      <c r="N320">
        <v>2018</v>
      </c>
      <c r="O320" s="1">
        <v>45783.306377314817</v>
      </c>
      <c r="P320" s="1">
        <v>45783.306377314817</v>
      </c>
      <c r="R320" t="s">
        <v>4588</v>
      </c>
      <c r="Y320" t="s">
        <v>4589</v>
      </c>
      <c r="AC320" t="s">
        <v>1167</v>
      </c>
      <c r="AD320" t="s">
        <v>3218</v>
      </c>
      <c r="AL320" t="s">
        <v>4590</v>
      </c>
      <c r="AP320" t="s">
        <v>4591</v>
      </c>
    </row>
    <row r="321" spans="1:74" x14ac:dyDescent="0.2">
      <c r="A321" t="s">
        <v>6684</v>
      </c>
      <c r="B321" t="s">
        <v>7036</v>
      </c>
      <c r="C321" t="s">
        <v>517</v>
      </c>
      <c r="D321" t="s">
        <v>88</v>
      </c>
      <c r="E321">
        <v>2018</v>
      </c>
      <c r="F321" t="s">
        <v>518</v>
      </c>
      <c r="G321" s="6" t="s">
        <v>519</v>
      </c>
      <c r="H321" t="s">
        <v>520</v>
      </c>
      <c r="I321" t="s">
        <v>521</v>
      </c>
      <c r="L321" t="s">
        <v>522</v>
      </c>
      <c r="N321">
        <v>2018</v>
      </c>
      <c r="O321" s="1">
        <v>45783.293668981481</v>
      </c>
      <c r="P321" s="1">
        <v>45783.293668981481</v>
      </c>
      <c r="Q321" s="1">
        <v>45783.293668981481</v>
      </c>
      <c r="R321" t="s">
        <v>523</v>
      </c>
      <c r="U321">
        <v>608</v>
      </c>
      <c r="AC321" t="s">
        <v>262</v>
      </c>
      <c r="AD321" t="s">
        <v>96</v>
      </c>
      <c r="AE321" t="s">
        <v>97</v>
      </c>
      <c r="AJ321" t="s">
        <v>98</v>
      </c>
      <c r="AL321" t="s">
        <v>524</v>
      </c>
      <c r="AR321" t="s">
        <v>525</v>
      </c>
    </row>
    <row r="322" spans="1:74" x14ac:dyDescent="0.2">
      <c r="A322" t="s">
        <v>6684</v>
      </c>
      <c r="B322" t="s">
        <v>7035</v>
      </c>
      <c r="C322" t="s">
        <v>6048</v>
      </c>
      <c r="D322" t="s">
        <v>477</v>
      </c>
      <c r="E322">
        <v>2022</v>
      </c>
      <c r="F322" t="s">
        <v>6049</v>
      </c>
      <c r="G322" s="6" t="s">
        <v>6050</v>
      </c>
      <c r="H322" t="s">
        <v>6051</v>
      </c>
      <c r="I322" t="s">
        <v>6052</v>
      </c>
      <c r="K322" t="s">
        <v>6053</v>
      </c>
      <c r="L322" t="s">
        <v>6054</v>
      </c>
      <c r="N322" t="s">
        <v>5455</v>
      </c>
      <c r="O322" s="1">
        <v>45783.312326388892</v>
      </c>
      <c r="P322" s="1">
        <v>45783.312326388892</v>
      </c>
      <c r="Q322" s="1">
        <v>45783.312326388892</v>
      </c>
      <c r="R322" t="s">
        <v>6055</v>
      </c>
      <c r="AC322" t="s">
        <v>5107</v>
      </c>
      <c r="AD322" t="s">
        <v>5458</v>
      </c>
      <c r="AF322" t="s">
        <v>5109</v>
      </c>
      <c r="AJ322" t="s">
        <v>98</v>
      </c>
      <c r="AN322" t="s">
        <v>6056</v>
      </c>
      <c r="BV322" t="s">
        <v>6051</v>
      </c>
    </row>
    <row r="323" spans="1:74" x14ac:dyDescent="0.2">
      <c r="A323" t="s">
        <v>7034</v>
      </c>
      <c r="B323" t="s">
        <v>7054</v>
      </c>
      <c r="C323" t="s">
        <v>6024</v>
      </c>
      <c r="D323" t="s">
        <v>477</v>
      </c>
      <c r="E323">
        <v>2024</v>
      </c>
      <c r="F323" t="s">
        <v>6025</v>
      </c>
      <c r="G323" s="6" t="s">
        <v>6026</v>
      </c>
      <c r="H323" t="s">
        <v>6027</v>
      </c>
      <c r="I323" t="s">
        <v>6028</v>
      </c>
      <c r="K323" t="s">
        <v>6029</v>
      </c>
      <c r="L323" t="s">
        <v>6030</v>
      </c>
      <c r="N323" s="2">
        <v>45454</v>
      </c>
      <c r="O323" s="1">
        <v>45783.312303240738</v>
      </c>
      <c r="P323" s="1">
        <v>45783.312303240738</v>
      </c>
      <c r="Q323" s="1">
        <v>45783.312303240738</v>
      </c>
      <c r="R323" s="3">
        <v>45809</v>
      </c>
      <c r="X323" t="s">
        <v>6031</v>
      </c>
      <c r="AC323" t="s">
        <v>5107</v>
      </c>
      <c r="AD323" t="s">
        <v>6032</v>
      </c>
      <c r="AF323" t="s">
        <v>5109</v>
      </c>
      <c r="AJ323" t="s">
        <v>98</v>
      </c>
      <c r="BV323" t="s">
        <v>6027</v>
      </c>
    </row>
    <row r="324" spans="1:74" x14ac:dyDescent="0.2">
      <c r="A324" t="s">
        <v>6684</v>
      </c>
      <c r="B324" t="s">
        <v>7035</v>
      </c>
      <c r="C324" t="s">
        <v>740</v>
      </c>
      <c r="D324" t="s">
        <v>477</v>
      </c>
      <c r="E324">
        <v>2024</v>
      </c>
      <c r="F324" t="s">
        <v>741</v>
      </c>
      <c r="G324" s="6" t="s">
        <v>742</v>
      </c>
      <c r="H324" t="s">
        <v>743</v>
      </c>
      <c r="I324" t="s">
        <v>744</v>
      </c>
      <c r="K324" t="s">
        <v>745</v>
      </c>
      <c r="L324" t="s">
        <v>746</v>
      </c>
      <c r="M324" t="s">
        <v>747</v>
      </c>
      <c r="N324">
        <v>2024</v>
      </c>
      <c r="O324" s="1">
        <v>45783.300150462965</v>
      </c>
      <c r="P324" s="1">
        <v>45783.300150462965</v>
      </c>
      <c r="R324" t="s">
        <v>748</v>
      </c>
      <c r="AC324" t="s">
        <v>681</v>
      </c>
      <c r="AE324" t="s">
        <v>645</v>
      </c>
      <c r="AH324" t="s">
        <v>646</v>
      </c>
      <c r="AL324" t="s">
        <v>749</v>
      </c>
      <c r="AP324" t="s">
        <v>750</v>
      </c>
      <c r="BV324" t="s">
        <v>751</v>
      </c>
    </row>
    <row r="325" spans="1:74" x14ac:dyDescent="0.2">
      <c r="A325" t="s">
        <v>6684</v>
      </c>
      <c r="B325" t="s">
        <v>7036</v>
      </c>
      <c r="C325" t="s">
        <v>6346</v>
      </c>
      <c r="D325" t="s">
        <v>477</v>
      </c>
      <c r="E325">
        <v>2022</v>
      </c>
      <c r="F325" t="s">
        <v>6347</v>
      </c>
      <c r="G325" s="6" t="s">
        <v>6348</v>
      </c>
      <c r="H325" t="s">
        <v>6349</v>
      </c>
      <c r="I325" t="s">
        <v>6350</v>
      </c>
      <c r="K325" t="s">
        <v>6351</v>
      </c>
      <c r="L325" t="s">
        <v>6352</v>
      </c>
      <c r="N325" t="s">
        <v>6353</v>
      </c>
      <c r="O325" s="1">
        <v>45783.313483796293</v>
      </c>
      <c r="P325" s="1">
        <v>45783.313483796293</v>
      </c>
      <c r="Q325" s="1">
        <v>45783.313483796293</v>
      </c>
      <c r="R325" t="s">
        <v>6354</v>
      </c>
      <c r="AC325" t="s">
        <v>5107</v>
      </c>
      <c r="AD325" t="s">
        <v>6355</v>
      </c>
      <c r="AF325" t="s">
        <v>5109</v>
      </c>
      <c r="AJ325" t="s">
        <v>98</v>
      </c>
      <c r="BV325" t="s">
        <v>6349</v>
      </c>
    </row>
    <row r="326" spans="1:74" x14ac:dyDescent="0.2">
      <c r="A326" t="s">
        <v>6684</v>
      </c>
      <c r="B326" t="s">
        <v>7035</v>
      </c>
      <c r="C326" t="s">
        <v>1242</v>
      </c>
      <c r="D326" t="s">
        <v>477</v>
      </c>
      <c r="E326">
        <v>2023</v>
      </c>
      <c r="F326" t="s">
        <v>1243</v>
      </c>
      <c r="G326" s="6" t="s">
        <v>1244</v>
      </c>
      <c r="H326" t="s">
        <v>1161</v>
      </c>
      <c r="I326" t="s">
        <v>1245</v>
      </c>
      <c r="K326" t="s">
        <v>1246</v>
      </c>
      <c r="L326" t="s">
        <v>1247</v>
      </c>
      <c r="M326" t="s">
        <v>1248</v>
      </c>
      <c r="N326">
        <v>2023</v>
      </c>
      <c r="O326" s="1">
        <v>45783.300150462965</v>
      </c>
      <c r="P326" s="1">
        <v>45783.300150462965</v>
      </c>
      <c r="R326" t="s">
        <v>1249</v>
      </c>
      <c r="AC326" t="s">
        <v>1167</v>
      </c>
      <c r="AE326" t="s">
        <v>645</v>
      </c>
      <c r="AH326" t="s">
        <v>646</v>
      </c>
      <c r="AL326" t="s">
        <v>1168</v>
      </c>
      <c r="AP326" t="s">
        <v>1250</v>
      </c>
      <c r="AR326" t="s">
        <v>1251</v>
      </c>
      <c r="BV326" t="s">
        <v>1170</v>
      </c>
    </row>
    <row r="327" spans="1:74" x14ac:dyDescent="0.2">
      <c r="A327" t="s">
        <v>6684</v>
      </c>
      <c r="B327" t="s">
        <v>7035</v>
      </c>
      <c r="C327" t="s">
        <v>6197</v>
      </c>
      <c r="D327" t="s">
        <v>477</v>
      </c>
      <c r="E327">
        <v>2022</v>
      </c>
      <c r="F327" t="s">
        <v>6198</v>
      </c>
      <c r="G327" s="6" t="s">
        <v>6199</v>
      </c>
      <c r="H327" t="s">
        <v>6200</v>
      </c>
      <c r="I327" t="s">
        <v>6201</v>
      </c>
      <c r="K327" t="s">
        <v>6202</v>
      </c>
      <c r="L327" t="s">
        <v>6203</v>
      </c>
      <c r="N327" s="2">
        <v>44860</v>
      </c>
      <c r="O327" s="1">
        <v>45783.312881944446</v>
      </c>
      <c r="P327" s="1">
        <v>45783.312881944446</v>
      </c>
      <c r="Q327" s="1">
        <v>45783.312881944446</v>
      </c>
      <c r="R327" t="s">
        <v>6204</v>
      </c>
      <c r="AC327" t="s">
        <v>5107</v>
      </c>
      <c r="AD327" t="s">
        <v>6205</v>
      </c>
      <c r="AF327" t="s">
        <v>5109</v>
      </c>
      <c r="AJ327" t="s">
        <v>98</v>
      </c>
      <c r="BV327" t="s">
        <v>6200</v>
      </c>
    </row>
    <row r="328" spans="1:74" x14ac:dyDescent="0.2">
      <c r="A328" t="s">
        <v>6684</v>
      </c>
      <c r="B328" t="s">
        <v>7042</v>
      </c>
      <c r="C328" t="s">
        <v>4337</v>
      </c>
      <c r="D328" t="s">
        <v>477</v>
      </c>
      <c r="E328">
        <v>2002</v>
      </c>
      <c r="F328" t="s">
        <v>4338</v>
      </c>
      <c r="G328" s="6" t="s">
        <v>4339</v>
      </c>
      <c r="H328" t="s">
        <v>4340</v>
      </c>
      <c r="I328" t="s">
        <v>4341</v>
      </c>
      <c r="N328">
        <v>2002</v>
      </c>
      <c r="O328" s="1">
        <v>45783.306377314817</v>
      </c>
      <c r="P328" s="1">
        <v>45783.306377314817</v>
      </c>
      <c r="R328">
        <v>299</v>
      </c>
      <c r="Y328" t="s">
        <v>4342</v>
      </c>
      <c r="AC328" t="s">
        <v>1895</v>
      </c>
      <c r="AD328" t="s">
        <v>3867</v>
      </c>
    </row>
    <row r="329" spans="1:74" x14ac:dyDescent="0.2">
      <c r="A329" t="s">
        <v>6684</v>
      </c>
      <c r="B329" t="s">
        <v>7046</v>
      </c>
      <c r="C329" t="s">
        <v>5501</v>
      </c>
      <c r="D329" t="s">
        <v>477</v>
      </c>
      <c r="E329">
        <v>2002</v>
      </c>
      <c r="F329" t="s">
        <v>4338</v>
      </c>
      <c r="G329" s="6" t="s">
        <v>5502</v>
      </c>
      <c r="H329" t="s">
        <v>5503</v>
      </c>
      <c r="I329" t="s">
        <v>5504</v>
      </c>
      <c r="K329" t="s">
        <v>5505</v>
      </c>
      <c r="L329" t="s">
        <v>5506</v>
      </c>
      <c r="N329">
        <v>2002</v>
      </c>
      <c r="O329" s="1">
        <v>45783.311516203707</v>
      </c>
      <c r="P329" s="1">
        <v>45783.311516203707</v>
      </c>
      <c r="Q329" s="1">
        <v>45783.311516203707</v>
      </c>
      <c r="R329" t="s">
        <v>5507</v>
      </c>
      <c r="AC329" t="s">
        <v>5508</v>
      </c>
      <c r="AD329" t="s">
        <v>5509</v>
      </c>
      <c r="AJ329" t="s">
        <v>98</v>
      </c>
      <c r="BV329" t="s">
        <v>5510</v>
      </c>
    </row>
    <row r="330" spans="1:74" x14ac:dyDescent="0.2">
      <c r="A330" t="s">
        <v>6684</v>
      </c>
      <c r="B330" t="s">
        <v>7035</v>
      </c>
      <c r="C330" t="s">
        <v>2904</v>
      </c>
      <c r="D330" t="s">
        <v>477</v>
      </c>
      <c r="E330">
        <v>2020</v>
      </c>
      <c r="F330" t="s">
        <v>2905</v>
      </c>
      <c r="G330" s="6" t="s">
        <v>2906</v>
      </c>
      <c r="H330" t="s">
        <v>1185</v>
      </c>
      <c r="I330" t="s">
        <v>2907</v>
      </c>
      <c r="K330" t="s">
        <v>2908</v>
      </c>
      <c r="L330" t="s">
        <v>2909</v>
      </c>
      <c r="M330" t="s">
        <v>2910</v>
      </c>
      <c r="N330">
        <v>2020</v>
      </c>
      <c r="O330" s="1">
        <v>45783.300173611111</v>
      </c>
      <c r="P330" s="1">
        <v>45783.300173611111</v>
      </c>
      <c r="R330" t="s">
        <v>2911</v>
      </c>
      <c r="U330" t="s">
        <v>2912</v>
      </c>
      <c r="AC330" t="s">
        <v>1535</v>
      </c>
      <c r="AE330" t="s">
        <v>645</v>
      </c>
      <c r="AH330" t="s">
        <v>646</v>
      </c>
      <c r="AL330" t="s">
        <v>1191</v>
      </c>
      <c r="AP330" t="s">
        <v>2913</v>
      </c>
      <c r="AR330" t="s">
        <v>2914</v>
      </c>
      <c r="BV330" t="s">
        <v>1194</v>
      </c>
    </row>
    <row r="331" spans="1:74" x14ac:dyDescent="0.2">
      <c r="A331" t="s">
        <v>6684</v>
      </c>
      <c r="B331" t="s">
        <v>7035</v>
      </c>
      <c r="C331" t="s">
        <v>4724</v>
      </c>
      <c r="D331" t="s">
        <v>102</v>
      </c>
      <c r="E331">
        <v>2022</v>
      </c>
      <c r="F331" t="s">
        <v>4725</v>
      </c>
      <c r="G331" s="6" t="s">
        <v>4726</v>
      </c>
      <c r="H331" t="s">
        <v>4727</v>
      </c>
      <c r="J331" t="s">
        <v>4728</v>
      </c>
      <c r="K331" t="s">
        <v>4729</v>
      </c>
      <c r="L331" t="s">
        <v>4730</v>
      </c>
      <c r="M331" t="s">
        <v>4731</v>
      </c>
      <c r="N331" t="s">
        <v>4732</v>
      </c>
      <c r="O331" s="1">
        <v>45783.306377314817</v>
      </c>
      <c r="P331" s="1">
        <v>45783.399247685185</v>
      </c>
      <c r="R331" t="s">
        <v>4733</v>
      </c>
      <c r="T331">
        <v>2</v>
      </c>
      <c r="U331">
        <v>81</v>
      </c>
      <c r="AL331" t="s">
        <v>3412</v>
      </c>
      <c r="AP331" t="s">
        <v>4734</v>
      </c>
    </row>
    <row r="332" spans="1:74" x14ac:dyDescent="0.2">
      <c r="A332" t="s">
        <v>6684</v>
      </c>
      <c r="B332" t="s">
        <v>7035</v>
      </c>
      <c r="C332" t="s">
        <v>5062</v>
      </c>
      <c r="D332" t="s">
        <v>102</v>
      </c>
      <c r="E332">
        <v>2003</v>
      </c>
      <c r="F332" t="s">
        <v>5063</v>
      </c>
      <c r="G332" s="6" t="s">
        <v>5064</v>
      </c>
      <c r="H332" t="s">
        <v>5065</v>
      </c>
      <c r="J332" t="s">
        <v>5066</v>
      </c>
      <c r="K332" t="s">
        <v>5067</v>
      </c>
      <c r="L332" t="s">
        <v>5068</v>
      </c>
      <c r="M332" t="s">
        <v>5069</v>
      </c>
      <c r="N332" t="s">
        <v>5070</v>
      </c>
      <c r="O332" s="1">
        <v>45783.306388888886</v>
      </c>
      <c r="P332" s="1">
        <v>45783.475648148145</v>
      </c>
      <c r="R332" t="s">
        <v>5071</v>
      </c>
      <c r="T332">
        <v>3</v>
      </c>
      <c r="U332">
        <v>15</v>
      </c>
      <c r="W332" t="s">
        <v>5072</v>
      </c>
      <c r="AL332" t="s">
        <v>3412</v>
      </c>
      <c r="AP332" t="s">
        <v>5073</v>
      </c>
    </row>
    <row r="333" spans="1:74" x14ac:dyDescent="0.2">
      <c r="A333" t="s">
        <v>6684</v>
      </c>
      <c r="B333" t="s">
        <v>7055</v>
      </c>
      <c r="C333" t="s">
        <v>3836</v>
      </c>
      <c r="D333" t="s">
        <v>477</v>
      </c>
      <c r="E333">
        <v>1999</v>
      </c>
      <c r="F333" t="s">
        <v>3837</v>
      </c>
      <c r="G333" s="6" t="s">
        <v>3838</v>
      </c>
      <c r="H333" t="s">
        <v>3839</v>
      </c>
      <c r="I333" t="s">
        <v>3840</v>
      </c>
      <c r="K333" t="s">
        <v>3841</v>
      </c>
      <c r="L333" t="s">
        <v>3842</v>
      </c>
      <c r="M333" t="s">
        <v>3843</v>
      </c>
      <c r="N333">
        <v>1999</v>
      </c>
      <c r="O333" s="1">
        <v>45783.30636574074</v>
      </c>
      <c r="P333" s="1">
        <v>45783.30636574074</v>
      </c>
      <c r="R333" t="s">
        <v>3844</v>
      </c>
      <c r="Y333" t="s">
        <v>3845</v>
      </c>
      <c r="AC333" t="s">
        <v>1167</v>
      </c>
      <c r="AD333" t="s">
        <v>3218</v>
      </c>
      <c r="AL333" t="s">
        <v>3846</v>
      </c>
      <c r="AP333" t="s">
        <v>3847</v>
      </c>
    </row>
    <row r="334" spans="1:74" x14ac:dyDescent="0.2">
      <c r="A334" t="s">
        <v>6684</v>
      </c>
      <c r="B334" t="s">
        <v>7035</v>
      </c>
      <c r="C334" t="s">
        <v>3759</v>
      </c>
      <c r="D334" t="s">
        <v>477</v>
      </c>
      <c r="E334">
        <v>2010</v>
      </c>
      <c r="F334" t="s">
        <v>3760</v>
      </c>
      <c r="G334" s="6" t="s">
        <v>3761</v>
      </c>
      <c r="H334" t="s">
        <v>3762</v>
      </c>
      <c r="I334" t="s">
        <v>3763</v>
      </c>
      <c r="K334" t="s">
        <v>3764</v>
      </c>
      <c r="L334" t="s">
        <v>3765</v>
      </c>
      <c r="M334" t="s">
        <v>3766</v>
      </c>
      <c r="N334">
        <v>2010</v>
      </c>
      <c r="O334" s="1">
        <v>45783.293796296297</v>
      </c>
      <c r="P334" s="1">
        <v>45784.351053240738</v>
      </c>
      <c r="R334" t="s">
        <v>3767</v>
      </c>
      <c r="U334">
        <v>6094</v>
      </c>
      <c r="Y334" t="s">
        <v>3768</v>
      </c>
      <c r="AC334" t="s">
        <v>3194</v>
      </c>
      <c r="AD334" t="s">
        <v>589</v>
      </c>
      <c r="AL334" t="s">
        <v>3769</v>
      </c>
      <c r="AP334" t="s">
        <v>3770</v>
      </c>
    </row>
    <row r="335" spans="1:74" x14ac:dyDescent="0.2">
      <c r="A335" t="s">
        <v>7034</v>
      </c>
      <c r="B335" t="s">
        <v>7047</v>
      </c>
      <c r="C335" t="s">
        <v>526</v>
      </c>
      <c r="D335" t="s">
        <v>88</v>
      </c>
      <c r="E335">
        <v>2018</v>
      </c>
      <c r="F335" t="s">
        <v>527</v>
      </c>
      <c r="G335" s="6" t="s">
        <v>528</v>
      </c>
      <c r="H335" t="s">
        <v>529</v>
      </c>
      <c r="I335" t="s">
        <v>530</v>
      </c>
      <c r="L335" t="s">
        <v>531</v>
      </c>
      <c r="N335">
        <v>2018</v>
      </c>
      <c r="O335" s="1">
        <v>45783.293680555558</v>
      </c>
      <c r="P335" s="1">
        <v>45783.293680555558</v>
      </c>
      <c r="Q335" s="1">
        <v>45783.293680555558</v>
      </c>
      <c r="R335" t="s">
        <v>532</v>
      </c>
      <c r="U335">
        <v>588</v>
      </c>
      <c r="AC335" t="s">
        <v>262</v>
      </c>
      <c r="AD335" t="s">
        <v>96</v>
      </c>
      <c r="AJ335" t="s">
        <v>98</v>
      </c>
      <c r="AL335" t="s">
        <v>533</v>
      </c>
      <c r="AR335" t="s">
        <v>534</v>
      </c>
    </row>
    <row r="336" spans="1:74" x14ac:dyDescent="0.2">
      <c r="A336" t="s">
        <v>7034</v>
      </c>
      <c r="B336" t="s">
        <v>7047</v>
      </c>
      <c r="C336" t="s">
        <v>5364</v>
      </c>
      <c r="D336" t="s">
        <v>477</v>
      </c>
      <c r="E336">
        <v>2024</v>
      </c>
      <c r="F336" t="s">
        <v>5365</v>
      </c>
      <c r="G336" s="6" t="s">
        <v>5366</v>
      </c>
      <c r="H336" t="s">
        <v>5367</v>
      </c>
      <c r="I336" t="s">
        <v>5368</v>
      </c>
      <c r="K336" t="s">
        <v>5369</v>
      </c>
      <c r="L336" t="s">
        <v>5370</v>
      </c>
      <c r="N336" s="2">
        <v>45497</v>
      </c>
      <c r="O336" s="1">
        <v>45783.311342592591</v>
      </c>
      <c r="P336" s="1">
        <v>45783.311342592591</v>
      </c>
      <c r="Q336" s="1">
        <v>45783.311342592591</v>
      </c>
      <c r="R336" t="s">
        <v>5371</v>
      </c>
      <c r="X336" t="s">
        <v>5372</v>
      </c>
      <c r="AC336" t="s">
        <v>5107</v>
      </c>
      <c r="AD336" t="s">
        <v>5373</v>
      </c>
      <c r="AF336" t="s">
        <v>5109</v>
      </c>
      <c r="AJ336" t="s">
        <v>98</v>
      </c>
      <c r="BV336" t="s">
        <v>5367</v>
      </c>
    </row>
    <row r="337" spans="1:74" x14ac:dyDescent="0.2">
      <c r="A337" t="s">
        <v>6684</v>
      </c>
      <c r="B337" t="s">
        <v>7035</v>
      </c>
      <c r="C337" t="s">
        <v>6156</v>
      </c>
      <c r="D337" t="s">
        <v>477</v>
      </c>
      <c r="E337">
        <v>2024</v>
      </c>
      <c r="F337" t="s">
        <v>6157</v>
      </c>
      <c r="G337" s="6" t="s">
        <v>6158</v>
      </c>
      <c r="H337" t="s">
        <v>6159</v>
      </c>
      <c r="I337" t="s">
        <v>6160</v>
      </c>
      <c r="K337" t="s">
        <v>6161</v>
      </c>
      <c r="L337" t="s">
        <v>6162</v>
      </c>
      <c r="N337" s="2">
        <v>45495</v>
      </c>
      <c r="O337" s="1">
        <v>45783.312835648147</v>
      </c>
      <c r="P337" s="1">
        <v>45783.312835648147</v>
      </c>
      <c r="Q337" s="1">
        <v>45783.312835648147</v>
      </c>
      <c r="R337" t="s">
        <v>6163</v>
      </c>
      <c r="AC337" t="s">
        <v>5107</v>
      </c>
      <c r="AD337" t="s">
        <v>6164</v>
      </c>
      <c r="AF337" t="s">
        <v>5109</v>
      </c>
      <c r="AJ337" t="s">
        <v>98</v>
      </c>
      <c r="BV337" t="s">
        <v>6159</v>
      </c>
    </row>
    <row r="338" spans="1:74" x14ac:dyDescent="0.2">
      <c r="A338" t="s">
        <v>6684</v>
      </c>
      <c r="B338" t="s">
        <v>7044</v>
      </c>
      <c r="C338" t="s">
        <v>6015</v>
      </c>
      <c r="D338" t="s">
        <v>477</v>
      </c>
      <c r="E338">
        <v>2014</v>
      </c>
      <c r="F338" t="s">
        <v>6016</v>
      </c>
      <c r="G338" s="6" t="s">
        <v>6017</v>
      </c>
      <c r="H338" t="s">
        <v>6018</v>
      </c>
      <c r="I338" t="s">
        <v>6019</v>
      </c>
      <c r="K338" t="s">
        <v>6020</v>
      </c>
      <c r="L338" t="s">
        <v>6021</v>
      </c>
      <c r="N338" t="s">
        <v>6022</v>
      </c>
      <c r="O338" s="1">
        <v>45783.312291666669</v>
      </c>
      <c r="P338" s="1">
        <v>45783.312291666669</v>
      </c>
      <c r="Q338" s="1">
        <v>45783.312291666669</v>
      </c>
      <c r="R338" s="3">
        <v>45839</v>
      </c>
      <c r="AC338" t="s">
        <v>5107</v>
      </c>
      <c r="AD338" t="s">
        <v>6023</v>
      </c>
      <c r="AJ338" t="s">
        <v>98</v>
      </c>
      <c r="BV338" t="s">
        <v>6018</v>
      </c>
    </row>
    <row r="339" spans="1:74" x14ac:dyDescent="0.2">
      <c r="A339" t="s">
        <v>6684</v>
      </c>
      <c r="B339" t="s">
        <v>7044</v>
      </c>
      <c r="C339" t="s">
        <v>5203</v>
      </c>
      <c r="D339" t="s">
        <v>477</v>
      </c>
      <c r="E339">
        <v>2013</v>
      </c>
      <c r="F339" t="s">
        <v>5204</v>
      </c>
      <c r="G339" s="6" t="s">
        <v>5205</v>
      </c>
      <c r="H339" t="s">
        <v>5206</v>
      </c>
      <c r="I339" t="s">
        <v>5207</v>
      </c>
      <c r="K339" t="s">
        <v>5208</v>
      </c>
      <c r="L339" t="s">
        <v>5209</v>
      </c>
      <c r="N339" t="s">
        <v>5210</v>
      </c>
      <c r="O339" s="1">
        <v>45783.311203703706</v>
      </c>
      <c r="P339" s="1">
        <v>45783.311203703706</v>
      </c>
      <c r="Q339" s="1">
        <v>45783.311203703706</v>
      </c>
      <c r="R339" s="3">
        <v>45931</v>
      </c>
      <c r="AC339" t="s">
        <v>5107</v>
      </c>
      <c r="AD339" t="s">
        <v>5211</v>
      </c>
      <c r="AJ339" t="s">
        <v>98</v>
      </c>
      <c r="BV339" t="s">
        <v>5212</v>
      </c>
    </row>
    <row r="340" spans="1:74" x14ac:dyDescent="0.2">
      <c r="A340" t="s">
        <v>6684</v>
      </c>
      <c r="B340" t="s">
        <v>6653</v>
      </c>
      <c r="C340" t="s">
        <v>553</v>
      </c>
      <c r="D340" t="s">
        <v>88</v>
      </c>
      <c r="E340">
        <v>2015</v>
      </c>
      <c r="F340" t="s">
        <v>554</v>
      </c>
      <c r="G340" s="6" t="s">
        <v>555</v>
      </c>
      <c r="H340" t="s">
        <v>547</v>
      </c>
      <c r="I340" t="s">
        <v>548</v>
      </c>
      <c r="L340" t="s">
        <v>556</v>
      </c>
      <c r="N340">
        <v>2015</v>
      </c>
      <c r="O340" s="1">
        <v>45783.293715277781</v>
      </c>
      <c r="P340" s="1">
        <v>45783.293715277781</v>
      </c>
      <c r="Q340" s="1">
        <v>45783.293715277781</v>
      </c>
      <c r="R340" t="s">
        <v>557</v>
      </c>
      <c r="U340">
        <v>9179</v>
      </c>
      <c r="AC340" t="s">
        <v>262</v>
      </c>
      <c r="AD340" t="s">
        <v>96</v>
      </c>
      <c r="AE340" t="s">
        <v>97</v>
      </c>
      <c r="AJ340" t="s">
        <v>98</v>
      </c>
      <c r="AL340" t="s">
        <v>558</v>
      </c>
      <c r="AR340" t="s">
        <v>552</v>
      </c>
    </row>
    <row r="341" spans="1:74" x14ac:dyDescent="0.2">
      <c r="A341" t="s">
        <v>6684</v>
      </c>
      <c r="B341" t="s">
        <v>7035</v>
      </c>
      <c r="C341" t="s">
        <v>1148</v>
      </c>
      <c r="D341" t="s">
        <v>102</v>
      </c>
      <c r="E341">
        <v>2025</v>
      </c>
      <c r="F341" t="s">
        <v>1149</v>
      </c>
      <c r="G341" s="6" t="s">
        <v>1150</v>
      </c>
      <c r="H341" t="s">
        <v>447</v>
      </c>
      <c r="J341" t="s">
        <v>1151</v>
      </c>
      <c r="K341" t="s">
        <v>1152</v>
      </c>
      <c r="L341" t="s">
        <v>1153</v>
      </c>
      <c r="M341" t="s">
        <v>1154</v>
      </c>
      <c r="N341">
        <v>2025</v>
      </c>
      <c r="O341" s="1">
        <v>45783.300150462965</v>
      </c>
      <c r="P341" s="1">
        <v>45783.300150462965</v>
      </c>
      <c r="W341" t="s">
        <v>1155</v>
      </c>
      <c r="AE341" t="s">
        <v>645</v>
      </c>
      <c r="AH341" t="s">
        <v>646</v>
      </c>
      <c r="AL341" t="s">
        <v>1156</v>
      </c>
      <c r="AP341" t="s">
        <v>1157</v>
      </c>
    </row>
    <row r="342" spans="1:74" x14ac:dyDescent="0.2">
      <c r="A342" t="s">
        <v>6684</v>
      </c>
      <c r="B342" t="s">
        <v>7036</v>
      </c>
      <c r="C342" t="s">
        <v>3371</v>
      </c>
      <c r="D342" t="s">
        <v>477</v>
      </c>
      <c r="E342">
        <v>2018</v>
      </c>
      <c r="F342" t="s">
        <v>3372</v>
      </c>
      <c r="G342" s="6" t="s">
        <v>3373</v>
      </c>
      <c r="H342" t="s">
        <v>3374</v>
      </c>
      <c r="I342" t="s">
        <v>3375</v>
      </c>
      <c r="K342" t="s">
        <v>3376</v>
      </c>
      <c r="L342" t="s">
        <v>3377</v>
      </c>
      <c r="M342" t="s">
        <v>3378</v>
      </c>
      <c r="N342">
        <v>2018</v>
      </c>
      <c r="O342" s="1">
        <v>45783.30636574074</v>
      </c>
      <c r="P342" s="1">
        <v>45783.466319444444</v>
      </c>
      <c r="R342" t="s">
        <v>3379</v>
      </c>
      <c r="AC342" t="s">
        <v>3380</v>
      </c>
      <c r="AD342" t="s">
        <v>3381</v>
      </c>
      <c r="BV342" t="s">
        <v>3374</v>
      </c>
    </row>
    <row r="343" spans="1:74" x14ac:dyDescent="0.2">
      <c r="A343" t="s">
        <v>6684</v>
      </c>
      <c r="B343" t="s">
        <v>7053</v>
      </c>
      <c r="C343" t="s">
        <v>5394</v>
      </c>
      <c r="D343" t="s">
        <v>477</v>
      </c>
      <c r="E343">
        <v>2021</v>
      </c>
      <c r="F343" t="s">
        <v>5395</v>
      </c>
      <c r="G343" s="6" t="s">
        <v>5396</v>
      </c>
      <c r="H343" t="s">
        <v>5397</v>
      </c>
      <c r="I343" t="s">
        <v>5398</v>
      </c>
      <c r="K343" t="s">
        <v>5399</v>
      </c>
      <c r="L343" t="s">
        <v>5400</v>
      </c>
      <c r="N343" t="s">
        <v>5401</v>
      </c>
      <c r="O343" s="1">
        <v>45783.311377314814</v>
      </c>
      <c r="P343" s="1">
        <v>45783.311377314814</v>
      </c>
      <c r="Q343" s="1">
        <v>45783.311377314814</v>
      </c>
      <c r="R343" t="s">
        <v>5402</v>
      </c>
      <c r="X343" t="s">
        <v>5403</v>
      </c>
      <c r="AC343" t="s">
        <v>5107</v>
      </c>
      <c r="AD343" t="s">
        <v>5404</v>
      </c>
      <c r="AF343" t="s">
        <v>5140</v>
      </c>
      <c r="AJ343" t="s">
        <v>98</v>
      </c>
      <c r="BV343" t="s">
        <v>5397</v>
      </c>
    </row>
    <row r="344" spans="1:74" x14ac:dyDescent="0.2">
      <c r="A344" t="s">
        <v>6684</v>
      </c>
      <c r="B344" t="s">
        <v>7035</v>
      </c>
      <c r="C344" t="s">
        <v>6398</v>
      </c>
      <c r="D344" t="s">
        <v>477</v>
      </c>
      <c r="E344">
        <v>2022</v>
      </c>
      <c r="F344" t="s">
        <v>6399</v>
      </c>
      <c r="G344" s="6" t="s">
        <v>6400</v>
      </c>
      <c r="H344" t="s">
        <v>6223</v>
      </c>
      <c r="I344" t="s">
        <v>6224</v>
      </c>
      <c r="K344" t="s">
        <v>6401</v>
      </c>
      <c r="L344" t="s">
        <v>6402</v>
      </c>
      <c r="N344" t="s">
        <v>5649</v>
      </c>
      <c r="O344" s="1">
        <v>45783.313530092593</v>
      </c>
      <c r="P344" s="1">
        <v>45783.409247685187</v>
      </c>
      <c r="Q344" s="1">
        <v>45783.313530092593</v>
      </c>
      <c r="R344" t="s">
        <v>6403</v>
      </c>
      <c r="X344" t="s">
        <v>6404</v>
      </c>
      <c r="AC344" t="s">
        <v>5107</v>
      </c>
      <c r="AD344" t="s">
        <v>5651</v>
      </c>
      <c r="AF344" t="s">
        <v>5109</v>
      </c>
      <c r="AJ344" t="s">
        <v>98</v>
      </c>
      <c r="AN344" t="s">
        <v>6405</v>
      </c>
      <c r="AP344" t="s">
        <v>6406</v>
      </c>
      <c r="BV344" t="s">
        <v>6229</v>
      </c>
    </row>
    <row r="345" spans="1:74" x14ac:dyDescent="0.2">
      <c r="A345" t="s">
        <v>6684</v>
      </c>
      <c r="B345" t="s">
        <v>7035</v>
      </c>
      <c r="C345" t="s">
        <v>5242</v>
      </c>
      <c r="D345" t="s">
        <v>477</v>
      </c>
      <c r="E345">
        <v>2022</v>
      </c>
      <c r="F345" t="s">
        <v>5243</v>
      </c>
      <c r="G345" s="6" t="s">
        <v>5244</v>
      </c>
      <c r="H345" t="s">
        <v>5245</v>
      </c>
      <c r="I345" t="s">
        <v>5246</v>
      </c>
      <c r="K345" t="s">
        <v>5247</v>
      </c>
      <c r="L345" t="s">
        <v>5248</v>
      </c>
      <c r="N345" s="2">
        <v>44849</v>
      </c>
      <c r="O345" s="1">
        <v>45783.311238425929</v>
      </c>
      <c r="P345" s="1">
        <v>45783.311238425929</v>
      </c>
      <c r="Q345" s="1">
        <v>45783.311238425929</v>
      </c>
      <c r="R345" t="s">
        <v>5249</v>
      </c>
      <c r="AC345" t="s">
        <v>5107</v>
      </c>
      <c r="AD345" t="s">
        <v>5250</v>
      </c>
      <c r="AF345" t="s">
        <v>5109</v>
      </c>
      <c r="AJ345" t="s">
        <v>98</v>
      </c>
      <c r="BV345" t="s">
        <v>5245</v>
      </c>
    </row>
    <row r="346" spans="1:74" x14ac:dyDescent="0.2">
      <c r="A346" t="s">
        <v>6684</v>
      </c>
      <c r="B346" t="s">
        <v>6685</v>
      </c>
      <c r="C346" t="s">
        <v>1721</v>
      </c>
      <c r="D346" t="s">
        <v>102</v>
      </c>
      <c r="E346">
        <v>2023</v>
      </c>
      <c r="F346" t="s">
        <v>1722</v>
      </c>
      <c r="G346" s="6" t="s">
        <v>1723</v>
      </c>
      <c r="H346" t="s">
        <v>1724</v>
      </c>
      <c r="J346" t="s">
        <v>1725</v>
      </c>
      <c r="K346" t="s">
        <v>1726</v>
      </c>
      <c r="L346" t="s">
        <v>1727</v>
      </c>
      <c r="M346" t="s">
        <v>1728</v>
      </c>
      <c r="N346">
        <v>2023</v>
      </c>
      <c r="O346" s="1">
        <v>45783.300150462965</v>
      </c>
      <c r="P346" s="1">
        <v>45783.300150462965</v>
      </c>
      <c r="T346">
        <v>1</v>
      </c>
      <c r="U346">
        <v>14</v>
      </c>
      <c r="W346" t="s">
        <v>1729</v>
      </c>
      <c r="AE346" t="s">
        <v>645</v>
      </c>
      <c r="AH346" t="s">
        <v>646</v>
      </c>
      <c r="AL346" t="s">
        <v>659</v>
      </c>
      <c r="AP346" t="s">
        <v>1730</v>
      </c>
    </row>
    <row r="347" spans="1:74" x14ac:dyDescent="0.2">
      <c r="A347" t="s">
        <v>6684</v>
      </c>
      <c r="B347" t="s">
        <v>7035</v>
      </c>
      <c r="C347" t="s">
        <v>2079</v>
      </c>
      <c r="D347" t="s">
        <v>102</v>
      </c>
      <c r="E347">
        <v>2021</v>
      </c>
      <c r="F347" t="s">
        <v>2080</v>
      </c>
      <c r="G347" s="6" t="s">
        <v>2081</v>
      </c>
      <c r="H347" t="s">
        <v>1376</v>
      </c>
      <c r="J347" t="s">
        <v>1377</v>
      </c>
      <c r="K347" t="s">
        <v>2082</v>
      </c>
      <c r="L347" t="s">
        <v>2083</v>
      </c>
      <c r="M347" t="s">
        <v>2084</v>
      </c>
      <c r="N347">
        <v>2021</v>
      </c>
      <c r="O347" s="1">
        <v>45783.300162037034</v>
      </c>
      <c r="P347" s="1">
        <v>45783.300162037034</v>
      </c>
      <c r="R347" t="s">
        <v>2085</v>
      </c>
      <c r="T347">
        <v>2</v>
      </c>
      <c r="U347">
        <v>27</v>
      </c>
      <c r="W347" t="s">
        <v>1382</v>
      </c>
      <c r="AE347" t="s">
        <v>645</v>
      </c>
      <c r="AH347" t="s">
        <v>646</v>
      </c>
      <c r="AL347" t="s">
        <v>1383</v>
      </c>
      <c r="AP347" t="s">
        <v>2086</v>
      </c>
    </row>
    <row r="348" spans="1:74" x14ac:dyDescent="0.2">
      <c r="A348" t="s">
        <v>6684</v>
      </c>
      <c r="B348" t="s">
        <v>7035</v>
      </c>
      <c r="C348" t="s">
        <v>2940</v>
      </c>
      <c r="D348" t="s">
        <v>102</v>
      </c>
      <c r="E348">
        <v>2010</v>
      </c>
      <c r="F348" t="s">
        <v>2941</v>
      </c>
      <c r="G348" s="6" t="s">
        <v>2942</v>
      </c>
      <c r="H348" t="s">
        <v>2266</v>
      </c>
      <c r="J348" t="s">
        <v>2943</v>
      </c>
      <c r="L348" t="s">
        <v>2944</v>
      </c>
      <c r="M348" t="s">
        <v>2945</v>
      </c>
      <c r="N348">
        <v>2010</v>
      </c>
      <c r="O348" s="1">
        <v>45783.300173611111</v>
      </c>
      <c r="P348" s="1">
        <v>45783.300173611111</v>
      </c>
      <c r="R348" t="s">
        <v>2946</v>
      </c>
      <c r="T348">
        <v>15</v>
      </c>
      <c r="U348">
        <v>16</v>
      </c>
      <c r="W348" t="s">
        <v>2271</v>
      </c>
      <c r="AE348" t="s">
        <v>645</v>
      </c>
      <c r="AH348" t="s">
        <v>646</v>
      </c>
      <c r="AP348" t="s">
        <v>2947</v>
      </c>
    </row>
    <row r="349" spans="1:74" x14ac:dyDescent="0.2">
      <c r="A349" t="s">
        <v>6684</v>
      </c>
      <c r="B349" t="s">
        <v>6657</v>
      </c>
      <c r="C349" t="s">
        <v>839</v>
      </c>
      <c r="D349" t="s">
        <v>102</v>
      </c>
      <c r="E349">
        <v>2024</v>
      </c>
      <c r="F349" t="s">
        <v>840</v>
      </c>
      <c r="G349" s="6" t="s">
        <v>841</v>
      </c>
      <c r="H349" t="s">
        <v>842</v>
      </c>
      <c r="J349" t="s">
        <v>843</v>
      </c>
      <c r="K349" t="s">
        <v>844</v>
      </c>
      <c r="L349" t="s">
        <v>845</v>
      </c>
      <c r="M349" t="s">
        <v>846</v>
      </c>
      <c r="N349">
        <v>2024</v>
      </c>
      <c r="O349" s="1">
        <v>45783.300150462965</v>
      </c>
      <c r="P349" s="1">
        <v>45783.300150462965</v>
      </c>
      <c r="R349" t="s">
        <v>847</v>
      </c>
      <c r="T349">
        <v>1</v>
      </c>
      <c r="U349">
        <v>33</v>
      </c>
      <c r="W349" t="s">
        <v>848</v>
      </c>
      <c r="AE349" t="s">
        <v>645</v>
      </c>
      <c r="AH349" t="s">
        <v>646</v>
      </c>
      <c r="AL349" t="s">
        <v>849</v>
      </c>
      <c r="AP349" t="s">
        <v>850</v>
      </c>
    </row>
    <row r="350" spans="1:74" x14ac:dyDescent="0.2">
      <c r="A350" t="s">
        <v>6684</v>
      </c>
      <c r="B350" t="s">
        <v>7035</v>
      </c>
      <c r="C350" t="s">
        <v>287</v>
      </c>
      <c r="D350" t="s">
        <v>88</v>
      </c>
      <c r="E350">
        <v>2024</v>
      </c>
      <c r="F350" t="s">
        <v>288</v>
      </c>
      <c r="G350" s="6" t="s">
        <v>289</v>
      </c>
      <c r="H350" t="s">
        <v>290</v>
      </c>
      <c r="I350" t="s">
        <v>291</v>
      </c>
      <c r="L350" t="s">
        <v>292</v>
      </c>
      <c r="N350">
        <v>2024</v>
      </c>
      <c r="O350" s="1">
        <v>45783.293229166666</v>
      </c>
      <c r="P350" s="1">
        <v>45783.293229166666</v>
      </c>
      <c r="Q350" s="1">
        <v>45783.293229166666</v>
      </c>
      <c r="R350" t="s">
        <v>293</v>
      </c>
      <c r="U350">
        <v>1957</v>
      </c>
      <c r="X350" t="s">
        <v>294</v>
      </c>
      <c r="AC350" t="s">
        <v>95</v>
      </c>
      <c r="AD350" t="s">
        <v>96</v>
      </c>
      <c r="AE350" t="s">
        <v>97</v>
      </c>
      <c r="AJ350" t="s">
        <v>98</v>
      </c>
      <c r="AL350" t="s">
        <v>295</v>
      </c>
      <c r="AR350" t="s">
        <v>129</v>
      </c>
    </row>
    <row r="351" spans="1:74" x14ac:dyDescent="0.2">
      <c r="A351" t="s">
        <v>6684</v>
      </c>
      <c r="B351" t="s">
        <v>7035</v>
      </c>
      <c r="C351" t="s">
        <v>3492</v>
      </c>
      <c r="D351" t="s">
        <v>477</v>
      </c>
      <c r="E351">
        <v>2024</v>
      </c>
      <c r="F351" t="s">
        <v>3493</v>
      </c>
      <c r="G351" s="6" t="s">
        <v>3494</v>
      </c>
      <c r="H351" t="s">
        <v>3495</v>
      </c>
      <c r="I351" t="s">
        <v>3496</v>
      </c>
      <c r="K351" t="s">
        <v>3497</v>
      </c>
      <c r="L351" t="s">
        <v>3498</v>
      </c>
      <c r="M351" t="s">
        <v>3499</v>
      </c>
      <c r="N351">
        <v>2024</v>
      </c>
      <c r="O351" s="1">
        <v>45783.30636574074</v>
      </c>
      <c r="P351" s="1">
        <v>45783.30636574074</v>
      </c>
      <c r="R351" t="s">
        <v>3500</v>
      </c>
      <c r="Y351" t="s">
        <v>3501</v>
      </c>
      <c r="AC351" t="s">
        <v>1167</v>
      </c>
      <c r="AD351" t="s">
        <v>3218</v>
      </c>
      <c r="AL351" t="s">
        <v>3502</v>
      </c>
      <c r="AP351" t="s">
        <v>3503</v>
      </c>
    </row>
    <row r="352" spans="1:74" x14ac:dyDescent="0.2">
      <c r="A352" t="s">
        <v>7034</v>
      </c>
      <c r="B352" t="s">
        <v>6661</v>
      </c>
      <c r="C352" t="s">
        <v>6259</v>
      </c>
      <c r="D352" t="s">
        <v>477</v>
      </c>
      <c r="E352">
        <v>2020</v>
      </c>
      <c r="F352" t="s">
        <v>6260</v>
      </c>
      <c r="G352" s="6" t="s">
        <v>6261</v>
      </c>
      <c r="H352" t="s">
        <v>6262</v>
      </c>
      <c r="I352" t="s">
        <v>6263</v>
      </c>
      <c r="K352" t="s">
        <v>6264</v>
      </c>
      <c r="L352" t="s">
        <v>6265</v>
      </c>
      <c r="N352" t="s">
        <v>5265</v>
      </c>
      <c r="O352" s="1">
        <v>45783.313402777778</v>
      </c>
      <c r="P352" s="1">
        <v>45783.313402777778</v>
      </c>
      <c r="Q352" s="1">
        <v>45783.313402777778</v>
      </c>
      <c r="R352" t="s">
        <v>6266</v>
      </c>
      <c r="X352" t="s">
        <v>6267</v>
      </c>
      <c r="AC352" t="s">
        <v>5107</v>
      </c>
      <c r="AD352" t="s">
        <v>6268</v>
      </c>
      <c r="AF352" t="s">
        <v>5140</v>
      </c>
      <c r="AJ352" t="s">
        <v>98</v>
      </c>
      <c r="BV352" t="s">
        <v>6262</v>
      </c>
    </row>
    <row r="353" spans="1:74" x14ac:dyDescent="0.2">
      <c r="A353" t="s">
        <v>6684</v>
      </c>
      <c r="B353" t="s">
        <v>7037</v>
      </c>
      <c r="C353" t="s">
        <v>3129</v>
      </c>
      <c r="D353" t="s">
        <v>477</v>
      </c>
      <c r="E353">
        <v>2005</v>
      </c>
      <c r="F353" t="s">
        <v>3130</v>
      </c>
      <c r="G353" s="6" t="s">
        <v>3131</v>
      </c>
      <c r="H353" t="s">
        <v>1185</v>
      </c>
      <c r="I353" t="s">
        <v>3132</v>
      </c>
      <c r="K353" t="s">
        <v>3133</v>
      </c>
      <c r="L353" t="s">
        <v>3134</v>
      </c>
      <c r="M353" t="s">
        <v>3135</v>
      </c>
      <c r="N353">
        <v>2005</v>
      </c>
      <c r="O353" s="1">
        <v>45783.300173611111</v>
      </c>
      <c r="P353" s="1">
        <v>45783.300173611111</v>
      </c>
      <c r="R353" s="4">
        <v>41640</v>
      </c>
      <c r="U353" t="s">
        <v>3136</v>
      </c>
      <c r="AE353" t="s">
        <v>645</v>
      </c>
      <c r="AH353" t="s">
        <v>646</v>
      </c>
      <c r="AL353" t="s">
        <v>1191</v>
      </c>
      <c r="AP353" t="s">
        <v>3137</v>
      </c>
      <c r="BV353" t="s">
        <v>1194</v>
      </c>
    </row>
    <row r="354" spans="1:74" x14ac:dyDescent="0.2">
      <c r="A354" t="s">
        <v>6684</v>
      </c>
      <c r="B354" t="s">
        <v>7035</v>
      </c>
      <c r="C354" t="s">
        <v>167</v>
      </c>
      <c r="D354" t="s">
        <v>102</v>
      </c>
      <c r="E354">
        <v>2025</v>
      </c>
      <c r="F354" t="s">
        <v>168</v>
      </c>
      <c r="G354" s="6" t="s">
        <v>169</v>
      </c>
      <c r="H354" t="s">
        <v>170</v>
      </c>
      <c r="J354" t="s">
        <v>171</v>
      </c>
      <c r="K354" t="s">
        <v>172</v>
      </c>
      <c r="L354" t="s">
        <v>173</v>
      </c>
      <c r="N354" s="2">
        <v>45661</v>
      </c>
      <c r="O354" s="1">
        <v>45783.293043981481</v>
      </c>
      <c r="P354" s="1">
        <v>45783.293043981481</v>
      </c>
      <c r="Q354" s="1">
        <v>45783.293043981481</v>
      </c>
      <c r="W354" t="s">
        <v>174</v>
      </c>
      <c r="AE354" t="s">
        <v>97</v>
      </c>
      <c r="AJ354" t="s">
        <v>98</v>
      </c>
    </row>
    <row r="355" spans="1:74" x14ac:dyDescent="0.2">
      <c r="A355" t="s">
        <v>6684</v>
      </c>
      <c r="B355" t="s">
        <v>6657</v>
      </c>
      <c r="C355" t="s">
        <v>2152</v>
      </c>
      <c r="D355" t="s">
        <v>102</v>
      </c>
      <c r="E355">
        <v>2013</v>
      </c>
      <c r="F355" t="s">
        <v>2153</v>
      </c>
      <c r="G355" s="6" t="s">
        <v>2154</v>
      </c>
      <c r="H355" t="s">
        <v>1672</v>
      </c>
      <c r="J355" t="s">
        <v>1673</v>
      </c>
      <c r="K355" t="s">
        <v>2155</v>
      </c>
      <c r="L355" t="s">
        <v>2156</v>
      </c>
      <c r="M355" t="s">
        <v>2157</v>
      </c>
      <c r="N355">
        <v>2013</v>
      </c>
      <c r="O355" s="1">
        <v>45783.300162037034</v>
      </c>
      <c r="P355" s="1">
        <v>45783.300162037034</v>
      </c>
      <c r="R355" t="s">
        <v>2158</v>
      </c>
      <c r="T355">
        <v>5</v>
      </c>
      <c r="U355">
        <v>8</v>
      </c>
      <c r="W355" t="s">
        <v>1678</v>
      </c>
      <c r="AE355" t="s">
        <v>645</v>
      </c>
      <c r="AH355" t="s">
        <v>646</v>
      </c>
      <c r="AL355" t="s">
        <v>2159</v>
      </c>
      <c r="AP355" t="s">
        <v>2160</v>
      </c>
    </row>
    <row r="356" spans="1:74" x14ac:dyDescent="0.2">
      <c r="A356" t="s">
        <v>6684</v>
      </c>
      <c r="B356" t="s">
        <v>6657</v>
      </c>
      <c r="C356" t="s">
        <v>1833</v>
      </c>
      <c r="D356" t="s">
        <v>102</v>
      </c>
      <c r="E356">
        <v>2022</v>
      </c>
      <c r="F356" t="s">
        <v>1834</v>
      </c>
      <c r="G356" s="6" t="s">
        <v>1835</v>
      </c>
      <c r="H356" t="s">
        <v>1836</v>
      </c>
      <c r="J356" t="s">
        <v>1837</v>
      </c>
      <c r="K356" t="s">
        <v>1838</v>
      </c>
      <c r="L356" t="s">
        <v>1839</v>
      </c>
      <c r="M356" t="s">
        <v>1840</v>
      </c>
      <c r="N356">
        <v>2022</v>
      </c>
      <c r="O356" s="1">
        <v>45783.300162037034</v>
      </c>
      <c r="P356" s="1">
        <v>45783.300162037034</v>
      </c>
      <c r="T356">
        <v>7</v>
      </c>
      <c r="U356">
        <v>24</v>
      </c>
      <c r="W356" t="s">
        <v>1841</v>
      </c>
      <c r="AE356" t="s">
        <v>645</v>
      </c>
      <c r="AH356" t="s">
        <v>646</v>
      </c>
      <c r="AL356" t="s">
        <v>1062</v>
      </c>
      <c r="AP356" t="s">
        <v>1842</v>
      </c>
    </row>
    <row r="357" spans="1:74" x14ac:dyDescent="0.2">
      <c r="A357" t="s">
        <v>6684</v>
      </c>
      <c r="B357" t="s">
        <v>6657</v>
      </c>
      <c r="C357" t="s">
        <v>5863</v>
      </c>
      <c r="D357" t="s">
        <v>477</v>
      </c>
      <c r="E357">
        <v>2024</v>
      </c>
      <c r="F357" t="s">
        <v>5864</v>
      </c>
      <c r="G357" s="6" t="s">
        <v>5865</v>
      </c>
      <c r="H357" t="s">
        <v>5866</v>
      </c>
      <c r="I357" t="s">
        <v>5867</v>
      </c>
      <c r="K357" t="s">
        <v>5868</v>
      </c>
      <c r="L357" t="s">
        <v>5869</v>
      </c>
      <c r="N357" s="2">
        <v>45367</v>
      </c>
      <c r="O357" s="1">
        <v>45783.312025462961</v>
      </c>
      <c r="P357" s="1">
        <v>45783.335752314815</v>
      </c>
      <c r="Q357" s="1">
        <v>45783.312025462961</v>
      </c>
      <c r="R357" t="s">
        <v>5870</v>
      </c>
      <c r="X357" t="s">
        <v>5871</v>
      </c>
      <c r="AC357" t="s">
        <v>5107</v>
      </c>
      <c r="AD357" t="s">
        <v>5509</v>
      </c>
      <c r="AF357" t="s">
        <v>5109</v>
      </c>
      <c r="AJ357" t="s">
        <v>98</v>
      </c>
      <c r="AN357" t="s">
        <v>5872</v>
      </c>
      <c r="AQ357" t="s">
        <v>5873</v>
      </c>
      <c r="BV357" t="s">
        <v>5866</v>
      </c>
    </row>
    <row r="358" spans="1:74" x14ac:dyDescent="0.2">
      <c r="A358" t="s">
        <v>7034</v>
      </c>
      <c r="B358" t="s">
        <v>7047</v>
      </c>
      <c r="C358" t="s">
        <v>4152</v>
      </c>
      <c r="D358" t="s">
        <v>477</v>
      </c>
      <c r="E358">
        <v>2023</v>
      </c>
      <c r="F358" t="s">
        <v>4153</v>
      </c>
      <c r="G358" s="6" t="s">
        <v>4154</v>
      </c>
      <c r="H358" t="s">
        <v>4155</v>
      </c>
      <c r="I358" t="s">
        <v>4156</v>
      </c>
      <c r="K358" t="s">
        <v>4157</v>
      </c>
      <c r="L358" t="s">
        <v>4158</v>
      </c>
      <c r="M358" t="s">
        <v>4159</v>
      </c>
      <c r="N358">
        <v>2023</v>
      </c>
      <c r="O358" s="1">
        <v>45783.306377314817</v>
      </c>
      <c r="P358" s="1">
        <v>45783.470231481479</v>
      </c>
      <c r="Y358" t="s">
        <v>4160</v>
      </c>
      <c r="AC358" t="s">
        <v>1167</v>
      </c>
      <c r="AD358" t="s">
        <v>3218</v>
      </c>
      <c r="AL358" t="s">
        <v>4161</v>
      </c>
      <c r="AP358" t="s">
        <v>4162</v>
      </c>
    </row>
    <row r="359" spans="1:74" x14ac:dyDescent="0.2">
      <c r="A359" t="s">
        <v>6684</v>
      </c>
      <c r="B359" t="s">
        <v>7035</v>
      </c>
      <c r="C359" t="s">
        <v>2115</v>
      </c>
      <c r="D359" t="s">
        <v>102</v>
      </c>
      <c r="E359">
        <v>2020</v>
      </c>
      <c r="F359" t="s">
        <v>2116</v>
      </c>
      <c r="G359" s="6" t="s">
        <v>2117</v>
      </c>
      <c r="H359" t="s">
        <v>1836</v>
      </c>
      <c r="J359" t="s">
        <v>1837</v>
      </c>
      <c r="K359" t="s">
        <v>2118</v>
      </c>
      <c r="L359" t="s">
        <v>2119</v>
      </c>
      <c r="M359" t="s">
        <v>2120</v>
      </c>
      <c r="N359">
        <v>2020</v>
      </c>
      <c r="O359" s="1">
        <v>45783.300162037034</v>
      </c>
      <c r="P359" s="1">
        <v>45783.300162037034</v>
      </c>
      <c r="T359">
        <v>3</v>
      </c>
      <c r="U359">
        <v>22</v>
      </c>
      <c r="W359" t="s">
        <v>1841</v>
      </c>
      <c r="AE359" t="s">
        <v>645</v>
      </c>
      <c r="AH359" t="s">
        <v>646</v>
      </c>
      <c r="AL359" t="s">
        <v>1062</v>
      </c>
      <c r="AP359" t="s">
        <v>2121</v>
      </c>
    </row>
    <row r="360" spans="1:74" x14ac:dyDescent="0.2">
      <c r="A360" t="s">
        <v>6684</v>
      </c>
      <c r="B360" t="s">
        <v>7036</v>
      </c>
      <c r="C360" t="s">
        <v>5707</v>
      </c>
      <c r="D360" t="s">
        <v>477</v>
      </c>
      <c r="E360">
        <v>2022</v>
      </c>
      <c r="F360" t="s">
        <v>5708</v>
      </c>
      <c r="G360" s="6" t="s">
        <v>5709</v>
      </c>
      <c r="H360" t="s">
        <v>5451</v>
      </c>
      <c r="I360" t="s">
        <v>5452</v>
      </c>
      <c r="K360" t="s">
        <v>5710</v>
      </c>
      <c r="L360" t="s">
        <v>5711</v>
      </c>
      <c r="N360" t="s">
        <v>5455</v>
      </c>
      <c r="O360" s="1">
        <v>45783.311782407407</v>
      </c>
      <c r="P360" s="1">
        <v>45783.311782407407</v>
      </c>
      <c r="Q360" s="1">
        <v>45783.311782407407</v>
      </c>
      <c r="R360" t="s">
        <v>5712</v>
      </c>
      <c r="X360" t="s">
        <v>5713</v>
      </c>
      <c r="AC360" t="s">
        <v>5107</v>
      </c>
      <c r="AD360" t="s">
        <v>5458</v>
      </c>
      <c r="AF360" t="s">
        <v>5109</v>
      </c>
      <c r="AJ360" t="s">
        <v>98</v>
      </c>
      <c r="BV360" t="s">
        <v>5451</v>
      </c>
    </row>
    <row r="361" spans="1:74" x14ac:dyDescent="0.2">
      <c r="A361" t="s">
        <v>7034</v>
      </c>
      <c r="B361" t="s">
        <v>7048</v>
      </c>
      <c r="C361" t="s">
        <v>1659</v>
      </c>
      <c r="D361" t="s">
        <v>102</v>
      </c>
      <c r="E361">
        <v>2022</v>
      </c>
      <c r="F361" t="s">
        <v>1660</v>
      </c>
      <c r="G361" s="6" t="s">
        <v>1661</v>
      </c>
      <c r="H361" t="s">
        <v>1662</v>
      </c>
      <c r="J361" t="s">
        <v>1663</v>
      </c>
      <c r="K361" t="s">
        <v>1664</v>
      </c>
      <c r="L361" t="s">
        <v>1665</v>
      </c>
      <c r="M361" t="s">
        <v>1666</v>
      </c>
      <c r="N361">
        <v>2022</v>
      </c>
      <c r="O361" s="1">
        <v>45783.300150462965</v>
      </c>
      <c r="P361" s="1">
        <v>45783.300150462965</v>
      </c>
      <c r="U361">
        <v>4</v>
      </c>
      <c r="W361" t="s">
        <v>1667</v>
      </c>
      <c r="AE361" t="s">
        <v>645</v>
      </c>
      <c r="AH361" t="s">
        <v>646</v>
      </c>
      <c r="AL361" t="s">
        <v>1516</v>
      </c>
      <c r="AP361" t="s">
        <v>1668</v>
      </c>
    </row>
    <row r="362" spans="1:74" x14ac:dyDescent="0.2">
      <c r="A362" t="s">
        <v>6684</v>
      </c>
      <c r="B362" t="s">
        <v>7035</v>
      </c>
      <c r="C362" t="s">
        <v>2097</v>
      </c>
      <c r="D362" t="s">
        <v>102</v>
      </c>
      <c r="E362">
        <v>2022</v>
      </c>
      <c r="F362" t="s">
        <v>2098</v>
      </c>
      <c r="G362" s="6" t="s">
        <v>2099</v>
      </c>
      <c r="H362" t="s">
        <v>1345</v>
      </c>
      <c r="J362" t="s">
        <v>1346</v>
      </c>
      <c r="K362" t="s">
        <v>2100</v>
      </c>
      <c r="L362" t="s">
        <v>2101</v>
      </c>
      <c r="M362" t="s">
        <v>2102</v>
      </c>
      <c r="N362">
        <v>2022</v>
      </c>
      <c r="O362" s="1">
        <v>45783.300162037034</v>
      </c>
      <c r="P362" s="1">
        <v>45783.300162037034</v>
      </c>
      <c r="T362">
        <v>1</v>
      </c>
      <c r="U362">
        <v>22</v>
      </c>
      <c r="W362" t="s">
        <v>1350</v>
      </c>
      <c r="AE362" t="s">
        <v>645</v>
      </c>
      <c r="AH362" t="s">
        <v>646</v>
      </c>
      <c r="AL362" t="s">
        <v>1008</v>
      </c>
      <c r="AP362" t="s">
        <v>2103</v>
      </c>
    </row>
    <row r="363" spans="1:74" x14ac:dyDescent="0.2">
      <c r="A363" t="s">
        <v>6684</v>
      </c>
      <c r="B363" t="s">
        <v>7035</v>
      </c>
      <c r="C363" t="s">
        <v>6524</v>
      </c>
      <c r="D363" t="s">
        <v>477</v>
      </c>
      <c r="E363">
        <v>2017</v>
      </c>
      <c r="F363" t="s">
        <v>6525</v>
      </c>
      <c r="G363" s="6" t="s">
        <v>6526</v>
      </c>
      <c r="H363" t="s">
        <v>6527</v>
      </c>
      <c r="I363" t="s">
        <v>6528</v>
      </c>
      <c r="K363" t="s">
        <v>6529</v>
      </c>
      <c r="L363" t="s">
        <v>6530</v>
      </c>
      <c r="N363">
        <v>2017</v>
      </c>
      <c r="O363" s="1">
        <v>45783.313715277778</v>
      </c>
      <c r="P363" s="1">
        <v>45783.409085648149</v>
      </c>
      <c r="Q363" s="1">
        <v>45783.313715277778</v>
      </c>
      <c r="R363" t="s">
        <v>6531</v>
      </c>
      <c r="AC363" t="s">
        <v>5107</v>
      </c>
      <c r="AD363" t="s">
        <v>5430</v>
      </c>
      <c r="AJ363" t="s">
        <v>98</v>
      </c>
      <c r="AP363" t="s">
        <v>6532</v>
      </c>
      <c r="BV363" t="s">
        <v>6527</v>
      </c>
    </row>
    <row r="364" spans="1:74" x14ac:dyDescent="0.2">
      <c r="A364" t="s">
        <v>6684</v>
      </c>
      <c r="B364" t="s">
        <v>7035</v>
      </c>
      <c r="C364" t="s">
        <v>1699</v>
      </c>
      <c r="D364" t="s">
        <v>477</v>
      </c>
      <c r="E364">
        <v>2020</v>
      </c>
      <c r="F364" t="s">
        <v>1700</v>
      </c>
      <c r="G364" s="6" t="s">
        <v>1701</v>
      </c>
      <c r="H364" t="s">
        <v>1702</v>
      </c>
      <c r="L364" t="s">
        <v>1703</v>
      </c>
      <c r="M364" t="s">
        <v>1704</v>
      </c>
      <c r="N364">
        <v>2020</v>
      </c>
      <c r="O364" s="1">
        <v>45783.300150462965</v>
      </c>
      <c r="P364" s="1">
        <v>45783.300150462965</v>
      </c>
      <c r="AC364" t="s">
        <v>1705</v>
      </c>
      <c r="AE364" t="s">
        <v>645</v>
      </c>
      <c r="AH364" t="s">
        <v>646</v>
      </c>
      <c r="AL364" t="s">
        <v>1706</v>
      </c>
      <c r="AP364" t="s">
        <v>1707</v>
      </c>
      <c r="BV364" t="s">
        <v>1708</v>
      </c>
    </row>
    <row r="365" spans="1:74" x14ac:dyDescent="0.2">
      <c r="A365" t="s">
        <v>6684</v>
      </c>
      <c r="B365" t="s">
        <v>7035</v>
      </c>
      <c r="C365" t="s">
        <v>6594</v>
      </c>
      <c r="D365" t="s">
        <v>102</v>
      </c>
      <c r="E365">
        <v>2024</v>
      </c>
      <c r="F365" t="s">
        <v>6595</v>
      </c>
      <c r="G365" s="6" t="s">
        <v>6596</v>
      </c>
      <c r="H365" t="s">
        <v>6597</v>
      </c>
      <c r="J365" t="s">
        <v>6598</v>
      </c>
      <c r="K365" t="s">
        <v>6599</v>
      </c>
      <c r="L365" t="s">
        <v>6600</v>
      </c>
      <c r="N365">
        <v>2024</v>
      </c>
      <c r="O365" s="1">
        <v>45783.313784722224</v>
      </c>
      <c r="P365" s="1">
        <v>45783.467002314814</v>
      </c>
      <c r="Q365" s="1">
        <v>45783.313784722224</v>
      </c>
      <c r="R365" t="s">
        <v>2358</v>
      </c>
      <c r="U365">
        <v>12</v>
      </c>
      <c r="W365" t="s">
        <v>6601</v>
      </c>
      <c r="X365" t="s">
        <v>6602</v>
      </c>
      <c r="AF365" t="s">
        <v>6603</v>
      </c>
      <c r="AJ365" t="s">
        <v>98</v>
      </c>
      <c r="AN365" t="s">
        <v>6604</v>
      </c>
      <c r="AP365" t="s">
        <v>6605</v>
      </c>
    </row>
    <row r="366" spans="1:74" x14ac:dyDescent="0.2">
      <c r="A366" t="s">
        <v>6684</v>
      </c>
      <c r="B366" t="s">
        <v>7035</v>
      </c>
      <c r="C366" t="s">
        <v>227</v>
      </c>
      <c r="D366" t="s">
        <v>88</v>
      </c>
      <c r="E366">
        <v>2025</v>
      </c>
      <c r="F366" t="s">
        <v>228</v>
      </c>
      <c r="G366" s="6" t="s">
        <v>229</v>
      </c>
      <c r="H366" t="s">
        <v>124</v>
      </c>
      <c r="I366" t="s">
        <v>125</v>
      </c>
      <c r="L366" t="s">
        <v>230</v>
      </c>
      <c r="N366">
        <v>2025</v>
      </c>
      <c r="O366" s="1">
        <v>45783.293124999997</v>
      </c>
      <c r="P366" s="1">
        <v>45783.293124999997</v>
      </c>
      <c r="Q366" s="1">
        <v>45783.293124999997</v>
      </c>
      <c r="R366" t="s">
        <v>231</v>
      </c>
      <c r="U366">
        <v>2319</v>
      </c>
      <c r="AC366" t="s">
        <v>95</v>
      </c>
      <c r="AD366" t="s">
        <v>96</v>
      </c>
      <c r="AE366" t="s">
        <v>97</v>
      </c>
      <c r="AJ366" t="s">
        <v>98</v>
      </c>
      <c r="AL366" t="s">
        <v>232</v>
      </c>
      <c r="AR366" t="s">
        <v>129</v>
      </c>
    </row>
    <row r="367" spans="1:74" x14ac:dyDescent="0.2">
      <c r="A367" t="s">
        <v>6684</v>
      </c>
      <c r="B367" t="s">
        <v>6657</v>
      </c>
      <c r="C367" t="s">
        <v>5941</v>
      </c>
      <c r="D367" t="s">
        <v>477</v>
      </c>
      <c r="E367">
        <v>2019</v>
      </c>
      <c r="F367" t="s">
        <v>5942</v>
      </c>
      <c r="G367" s="6" t="s">
        <v>5943</v>
      </c>
      <c r="H367" t="s">
        <v>5944</v>
      </c>
      <c r="I367" t="s">
        <v>5945</v>
      </c>
      <c r="K367" t="s">
        <v>5946</v>
      </c>
      <c r="L367" t="s">
        <v>5947</v>
      </c>
      <c r="N367" t="s">
        <v>4361</v>
      </c>
      <c r="O367" s="1">
        <v>45783.312094907407</v>
      </c>
      <c r="P367" s="1">
        <v>45783.312094907407</v>
      </c>
      <c r="Q367" s="1">
        <v>45783.312094907407</v>
      </c>
      <c r="R367" s="3">
        <v>45809</v>
      </c>
      <c r="X367" t="s">
        <v>5948</v>
      </c>
      <c r="AC367" t="s">
        <v>5107</v>
      </c>
      <c r="AD367" t="s">
        <v>5949</v>
      </c>
      <c r="AF367" t="s">
        <v>5140</v>
      </c>
      <c r="AJ367" t="s">
        <v>98</v>
      </c>
      <c r="BV367" t="s">
        <v>5944</v>
      </c>
    </row>
    <row r="368" spans="1:74" x14ac:dyDescent="0.2">
      <c r="A368" t="s">
        <v>6684</v>
      </c>
      <c r="B368" t="s">
        <v>7045</v>
      </c>
      <c r="C368" t="s">
        <v>627</v>
      </c>
      <c r="D368" t="s">
        <v>88</v>
      </c>
      <c r="E368">
        <v>2006</v>
      </c>
      <c r="F368" t="s">
        <v>628</v>
      </c>
      <c r="G368" s="6" t="s">
        <v>629</v>
      </c>
      <c r="H368" t="s">
        <v>630</v>
      </c>
      <c r="I368" t="s">
        <v>631</v>
      </c>
      <c r="L368" t="s">
        <v>632</v>
      </c>
      <c r="N368">
        <v>2006</v>
      </c>
      <c r="O368" s="1">
        <v>45783.293819444443</v>
      </c>
      <c r="P368" s="1">
        <v>45783.293819444443</v>
      </c>
      <c r="Q368" s="1">
        <v>45783.293819444443</v>
      </c>
      <c r="R368" t="s">
        <v>633</v>
      </c>
      <c r="AC368" t="s">
        <v>588</v>
      </c>
      <c r="AE368" t="s">
        <v>97</v>
      </c>
      <c r="AJ368" t="s">
        <v>98</v>
      </c>
      <c r="AL368" t="s">
        <v>634</v>
      </c>
      <c r="AR368" t="s">
        <v>635</v>
      </c>
    </row>
    <row r="369" spans="1:74" x14ac:dyDescent="0.2">
      <c r="A369" t="s">
        <v>6684</v>
      </c>
      <c r="B369" t="s">
        <v>6653</v>
      </c>
      <c r="C369" t="s">
        <v>3197</v>
      </c>
      <c r="D369" t="s">
        <v>477</v>
      </c>
      <c r="E369">
        <v>2023</v>
      </c>
      <c r="F369" t="s">
        <v>3198</v>
      </c>
      <c r="G369" s="6" t="s">
        <v>3199</v>
      </c>
      <c r="H369" t="s">
        <v>3200</v>
      </c>
      <c r="I369" t="s">
        <v>3201</v>
      </c>
      <c r="K369" t="s">
        <v>3202</v>
      </c>
      <c r="L369" t="s">
        <v>3203</v>
      </c>
      <c r="M369" t="s">
        <v>3204</v>
      </c>
      <c r="N369">
        <v>2023</v>
      </c>
      <c r="O369" s="1">
        <v>45783.292951388888</v>
      </c>
      <c r="P369" s="1">
        <v>45784.354791666665</v>
      </c>
      <c r="R369" t="s">
        <v>3205</v>
      </c>
      <c r="U369">
        <v>14025</v>
      </c>
      <c r="AC369" t="s">
        <v>3194</v>
      </c>
      <c r="AD369" t="s">
        <v>589</v>
      </c>
      <c r="AL369" t="s">
        <v>3206</v>
      </c>
      <c r="AP369" t="s">
        <v>3207</v>
      </c>
    </row>
    <row r="370" spans="1:74" x14ac:dyDescent="0.2">
      <c r="A370" t="s">
        <v>6684</v>
      </c>
      <c r="B370" t="s">
        <v>7035</v>
      </c>
      <c r="C370" t="s">
        <v>1925</v>
      </c>
      <c r="D370" t="s">
        <v>102</v>
      </c>
      <c r="E370">
        <v>2021</v>
      </c>
      <c r="F370" t="s">
        <v>1926</v>
      </c>
      <c r="G370" s="6" t="s">
        <v>1927</v>
      </c>
      <c r="H370" t="s">
        <v>1928</v>
      </c>
      <c r="J370" t="s">
        <v>910</v>
      </c>
      <c r="K370" t="s">
        <v>1929</v>
      </c>
      <c r="L370" t="s">
        <v>1930</v>
      </c>
      <c r="M370" t="s">
        <v>1931</v>
      </c>
      <c r="N370">
        <v>2021</v>
      </c>
      <c r="O370" s="1">
        <v>45783.300162037034</v>
      </c>
      <c r="P370" s="1">
        <v>45783.300162037034</v>
      </c>
      <c r="R370" s="4">
        <v>42736</v>
      </c>
      <c r="T370">
        <v>4</v>
      </c>
      <c r="U370">
        <v>21</v>
      </c>
      <c r="W370" t="s">
        <v>909</v>
      </c>
      <c r="AE370" t="s">
        <v>645</v>
      </c>
      <c r="AH370" t="s">
        <v>646</v>
      </c>
      <c r="AL370" t="s">
        <v>1471</v>
      </c>
      <c r="AP370" t="s">
        <v>1932</v>
      </c>
    </row>
    <row r="371" spans="1:74" x14ac:dyDescent="0.2">
      <c r="A371" t="s">
        <v>6684</v>
      </c>
      <c r="B371" t="s">
        <v>7035</v>
      </c>
      <c r="C371" t="s">
        <v>4665</v>
      </c>
      <c r="D371" t="s">
        <v>102</v>
      </c>
      <c r="E371">
        <v>2021</v>
      </c>
      <c r="F371" t="s">
        <v>4666</v>
      </c>
      <c r="G371" s="6" t="s">
        <v>4667</v>
      </c>
      <c r="H371" t="s">
        <v>3278</v>
      </c>
      <c r="J371" t="s">
        <v>3279</v>
      </c>
      <c r="K371" t="s">
        <v>4668</v>
      </c>
      <c r="L371" t="s">
        <v>4669</v>
      </c>
      <c r="N371" t="s">
        <v>433</v>
      </c>
      <c r="O371" s="1">
        <v>45783.306377314817</v>
      </c>
      <c r="P371" s="1">
        <v>45783.306377314817</v>
      </c>
      <c r="T371" t="s">
        <v>3283</v>
      </c>
      <c r="U371">
        <v>156</v>
      </c>
      <c r="AL371" t="s">
        <v>3284</v>
      </c>
      <c r="AP371" t="s">
        <v>4670</v>
      </c>
    </row>
    <row r="372" spans="1:74" x14ac:dyDescent="0.2">
      <c r="A372" t="s">
        <v>6684</v>
      </c>
      <c r="B372" t="s">
        <v>7035</v>
      </c>
      <c r="C372" t="s">
        <v>6276</v>
      </c>
      <c r="D372" t="s">
        <v>477</v>
      </c>
      <c r="E372">
        <v>2020</v>
      </c>
      <c r="F372" t="s">
        <v>6277</v>
      </c>
      <c r="G372" s="6" t="s">
        <v>6278</v>
      </c>
      <c r="H372" t="s">
        <v>5146</v>
      </c>
      <c r="I372" t="s">
        <v>5147</v>
      </c>
      <c r="K372" t="s">
        <v>6279</v>
      </c>
      <c r="L372" t="s">
        <v>6280</v>
      </c>
      <c r="N372" t="s">
        <v>5150</v>
      </c>
      <c r="O372" s="1">
        <v>45783.313414351855</v>
      </c>
      <c r="P372" s="1">
        <v>45783.313414351855</v>
      </c>
      <c r="Q372" s="1">
        <v>45783.313414351855</v>
      </c>
      <c r="R372" t="s">
        <v>6281</v>
      </c>
      <c r="AC372" t="s">
        <v>5107</v>
      </c>
      <c r="AD372" t="s">
        <v>5152</v>
      </c>
      <c r="AF372" t="s">
        <v>5140</v>
      </c>
      <c r="AJ372" t="s">
        <v>98</v>
      </c>
      <c r="BV372" t="s">
        <v>5146</v>
      </c>
    </row>
    <row r="373" spans="1:74" x14ac:dyDescent="0.2">
      <c r="A373" t="s">
        <v>6684</v>
      </c>
      <c r="B373" t="s">
        <v>6685</v>
      </c>
      <c r="C373" t="s">
        <v>3780</v>
      </c>
      <c r="D373" t="s">
        <v>477</v>
      </c>
      <c r="E373">
        <v>2019</v>
      </c>
      <c r="F373" t="s">
        <v>3781</v>
      </c>
      <c r="G373" s="6" t="s">
        <v>3782</v>
      </c>
      <c r="H373" t="s">
        <v>3783</v>
      </c>
      <c r="I373" t="s">
        <v>3784</v>
      </c>
      <c r="K373" t="s">
        <v>3785</v>
      </c>
      <c r="L373" t="s">
        <v>3786</v>
      </c>
      <c r="M373" t="s">
        <v>3787</v>
      </c>
      <c r="N373">
        <v>2019</v>
      </c>
      <c r="O373" s="1">
        <v>45783.30636574074</v>
      </c>
      <c r="P373" s="1">
        <v>45783.30636574074</v>
      </c>
      <c r="R373" t="s">
        <v>3788</v>
      </c>
      <c r="Y373" t="s">
        <v>3789</v>
      </c>
      <c r="AC373" t="s">
        <v>1167</v>
      </c>
      <c r="AD373" t="s">
        <v>3218</v>
      </c>
      <c r="AL373" t="s">
        <v>3702</v>
      </c>
      <c r="AP373" t="s">
        <v>3790</v>
      </c>
    </row>
    <row r="374" spans="1:74" x14ac:dyDescent="0.2">
      <c r="A374" t="s">
        <v>6684</v>
      </c>
      <c r="B374" t="s">
        <v>7037</v>
      </c>
      <c r="C374" t="s">
        <v>6336</v>
      </c>
      <c r="D374" t="s">
        <v>102</v>
      </c>
      <c r="E374">
        <v>2011</v>
      </c>
      <c r="F374" t="s">
        <v>6337</v>
      </c>
      <c r="G374" s="6" t="s">
        <v>6338</v>
      </c>
      <c r="H374" t="s">
        <v>6339</v>
      </c>
      <c r="J374" t="s">
        <v>6340</v>
      </c>
      <c r="K374" t="s">
        <v>6341</v>
      </c>
      <c r="L374" t="s">
        <v>6342</v>
      </c>
      <c r="N374" t="s">
        <v>6343</v>
      </c>
      <c r="O374" s="1">
        <v>45783.306388888886</v>
      </c>
      <c r="P374" s="1">
        <v>45784.28800925926</v>
      </c>
      <c r="Q374" s="1">
        <v>45783.313472222224</v>
      </c>
      <c r="R374" t="s">
        <v>6344</v>
      </c>
      <c r="T374">
        <v>2</v>
      </c>
      <c r="U374">
        <v>18</v>
      </c>
      <c r="W374" t="s">
        <v>6339</v>
      </c>
      <c r="AF374" t="s">
        <v>5140</v>
      </c>
      <c r="AJ374" t="s">
        <v>98</v>
      </c>
      <c r="AP374" t="s">
        <v>6345</v>
      </c>
    </row>
    <row r="375" spans="1:74" x14ac:dyDescent="0.2">
      <c r="A375" t="s">
        <v>6684</v>
      </c>
      <c r="B375" t="s">
        <v>7035</v>
      </c>
      <c r="C375" t="s">
        <v>4283</v>
      </c>
      <c r="D375" t="s">
        <v>477</v>
      </c>
      <c r="E375">
        <v>2020</v>
      </c>
      <c r="F375" t="s">
        <v>4284</v>
      </c>
      <c r="G375" s="6" t="s">
        <v>4285</v>
      </c>
      <c r="H375" t="s">
        <v>4286</v>
      </c>
      <c r="I375" t="s">
        <v>4287</v>
      </c>
      <c r="K375" t="s">
        <v>4288</v>
      </c>
      <c r="L375" t="s">
        <v>4289</v>
      </c>
      <c r="M375" t="s">
        <v>4290</v>
      </c>
      <c r="N375">
        <v>2020</v>
      </c>
      <c r="O375" s="1">
        <v>45783.306377314817</v>
      </c>
      <c r="P375" s="1">
        <v>45783.306377314817</v>
      </c>
      <c r="R375" t="s">
        <v>4148</v>
      </c>
      <c r="Y375" t="s">
        <v>4291</v>
      </c>
      <c r="AC375" t="s">
        <v>1167</v>
      </c>
      <c r="AD375" t="s">
        <v>3218</v>
      </c>
      <c r="AL375" t="s">
        <v>4292</v>
      </c>
      <c r="AP375" t="s">
        <v>4293</v>
      </c>
    </row>
    <row r="376" spans="1:74" x14ac:dyDescent="0.2">
      <c r="A376" t="s">
        <v>6684</v>
      </c>
      <c r="B376" t="s">
        <v>7035</v>
      </c>
      <c r="C376" t="s">
        <v>2431</v>
      </c>
      <c r="D376" t="s">
        <v>102</v>
      </c>
      <c r="E376">
        <v>2019</v>
      </c>
      <c r="F376" t="s">
        <v>2432</v>
      </c>
      <c r="G376" s="6" t="s">
        <v>2433</v>
      </c>
      <c r="H376" t="s">
        <v>1323</v>
      </c>
      <c r="J376" t="s">
        <v>1324</v>
      </c>
      <c r="K376" t="s">
        <v>2434</v>
      </c>
      <c r="L376" t="s">
        <v>2435</v>
      </c>
      <c r="M376" t="s">
        <v>2436</v>
      </c>
      <c r="N376">
        <v>2019</v>
      </c>
      <c r="O376" s="1">
        <v>45783.300162037034</v>
      </c>
      <c r="P376" s="1">
        <v>45783.300162037034</v>
      </c>
      <c r="R376" t="s">
        <v>2437</v>
      </c>
      <c r="U376">
        <v>53</v>
      </c>
      <c r="W376" t="s">
        <v>1329</v>
      </c>
      <c r="AE376" t="s">
        <v>645</v>
      </c>
      <c r="AH376" t="s">
        <v>646</v>
      </c>
      <c r="AL376" t="s">
        <v>717</v>
      </c>
      <c r="AP376" t="s">
        <v>2438</v>
      </c>
    </row>
    <row r="377" spans="1:74" x14ac:dyDescent="0.2">
      <c r="A377" t="s">
        <v>6684</v>
      </c>
      <c r="B377" t="s">
        <v>7035</v>
      </c>
      <c r="C377" t="s">
        <v>5759</v>
      </c>
      <c r="D377" t="s">
        <v>477</v>
      </c>
      <c r="E377">
        <v>2024</v>
      </c>
      <c r="F377" t="s">
        <v>5760</v>
      </c>
      <c r="G377" s="6" t="s">
        <v>5761</v>
      </c>
      <c r="H377" t="s">
        <v>5367</v>
      </c>
      <c r="I377" t="s">
        <v>5368</v>
      </c>
      <c r="K377" t="s">
        <v>5762</v>
      </c>
      <c r="L377" t="s">
        <v>5763</v>
      </c>
      <c r="N377" s="2">
        <v>45497</v>
      </c>
      <c r="O377" s="1">
        <v>45783.311886574076</v>
      </c>
      <c r="P377" s="1">
        <v>45783.311886574076</v>
      </c>
      <c r="Q377" s="1">
        <v>45783.311886574076</v>
      </c>
      <c r="R377" t="s">
        <v>5764</v>
      </c>
      <c r="AC377" t="s">
        <v>5107</v>
      </c>
      <c r="AD377" t="s">
        <v>5373</v>
      </c>
      <c r="AF377" t="s">
        <v>5109</v>
      </c>
      <c r="AJ377" t="s">
        <v>98</v>
      </c>
      <c r="BV377" t="s">
        <v>5367</v>
      </c>
    </row>
    <row r="378" spans="1:74" x14ac:dyDescent="0.2">
      <c r="A378" t="s">
        <v>7034</v>
      </c>
      <c r="B378" t="s">
        <v>7047</v>
      </c>
      <c r="C378" t="s">
        <v>4045</v>
      </c>
      <c r="D378" t="s">
        <v>477</v>
      </c>
      <c r="E378">
        <v>2019</v>
      </c>
      <c r="F378" t="s">
        <v>4046</v>
      </c>
      <c r="G378" s="6" t="s">
        <v>4047</v>
      </c>
      <c r="H378" t="s">
        <v>4048</v>
      </c>
      <c r="I378" t="s">
        <v>4049</v>
      </c>
      <c r="K378" t="s">
        <v>4050</v>
      </c>
      <c r="L378" t="s">
        <v>4051</v>
      </c>
      <c r="M378" t="s">
        <v>4052</v>
      </c>
      <c r="N378">
        <v>2019</v>
      </c>
      <c r="O378" s="1">
        <v>45783.306377314817</v>
      </c>
      <c r="P378" s="1">
        <v>45783.471018518518</v>
      </c>
      <c r="R378" t="s">
        <v>4053</v>
      </c>
      <c r="Y378" t="s">
        <v>4054</v>
      </c>
      <c r="AC378" t="s">
        <v>1167</v>
      </c>
      <c r="AD378" t="s">
        <v>3218</v>
      </c>
      <c r="AL378" t="s">
        <v>4055</v>
      </c>
      <c r="AP378" t="s">
        <v>4056</v>
      </c>
    </row>
    <row r="379" spans="1:74" x14ac:dyDescent="0.2">
      <c r="A379" t="s">
        <v>6684</v>
      </c>
      <c r="B379" t="s">
        <v>7035</v>
      </c>
      <c r="C379" t="s">
        <v>1182</v>
      </c>
      <c r="D379" t="s">
        <v>477</v>
      </c>
      <c r="E379">
        <v>2024</v>
      </c>
      <c r="F379" t="s">
        <v>1183</v>
      </c>
      <c r="G379" s="6" t="s">
        <v>1184</v>
      </c>
      <c r="H379" t="s">
        <v>1185</v>
      </c>
      <c r="I379" t="s">
        <v>1186</v>
      </c>
      <c r="K379" t="s">
        <v>1187</v>
      </c>
      <c r="L379" t="s">
        <v>1188</v>
      </c>
      <c r="M379" t="s">
        <v>1189</v>
      </c>
      <c r="N379">
        <v>2024</v>
      </c>
      <c r="O379" s="1">
        <v>45783.300150462965</v>
      </c>
      <c r="P379" s="1">
        <v>45784.288622685184</v>
      </c>
      <c r="R379" s="4">
        <v>43160</v>
      </c>
      <c r="U379" t="s">
        <v>1190</v>
      </c>
      <c r="AC379" t="s">
        <v>787</v>
      </c>
      <c r="AE379" t="s">
        <v>645</v>
      </c>
      <c r="AH379" t="s">
        <v>646</v>
      </c>
      <c r="AL379" t="s">
        <v>1191</v>
      </c>
      <c r="AP379" t="s">
        <v>1192</v>
      </c>
      <c r="AR379" t="s">
        <v>1193</v>
      </c>
      <c r="BV379" t="s">
        <v>1194</v>
      </c>
    </row>
    <row r="380" spans="1:74" x14ac:dyDescent="0.2">
      <c r="A380" t="s">
        <v>6684</v>
      </c>
      <c r="B380" t="s">
        <v>7035</v>
      </c>
      <c r="C380" t="s">
        <v>5405</v>
      </c>
      <c r="D380" t="s">
        <v>477</v>
      </c>
      <c r="E380">
        <v>2019</v>
      </c>
      <c r="F380" t="s">
        <v>5406</v>
      </c>
      <c r="G380" s="6" t="s">
        <v>5407</v>
      </c>
      <c r="H380" t="s">
        <v>5408</v>
      </c>
      <c r="I380" t="s">
        <v>5409</v>
      </c>
      <c r="K380" t="s">
        <v>5410</v>
      </c>
      <c r="L380" t="s">
        <v>5411</v>
      </c>
      <c r="N380" t="s">
        <v>3445</v>
      </c>
      <c r="O380" s="1">
        <v>45783.311377314814</v>
      </c>
      <c r="P380" s="1">
        <v>45783.311377314814</v>
      </c>
      <c r="Q380" s="1">
        <v>45783.311377314814</v>
      </c>
      <c r="R380" t="s">
        <v>5412</v>
      </c>
      <c r="AC380" t="s">
        <v>5107</v>
      </c>
      <c r="AD380" t="s">
        <v>5413</v>
      </c>
      <c r="AF380" t="s">
        <v>5140</v>
      </c>
      <c r="AJ380" t="s">
        <v>98</v>
      </c>
      <c r="BV380" t="s">
        <v>5408</v>
      </c>
    </row>
    <row r="381" spans="1:74" x14ac:dyDescent="0.2">
      <c r="A381" t="s">
        <v>6684</v>
      </c>
      <c r="B381" t="s">
        <v>7035</v>
      </c>
      <c r="C381" t="s">
        <v>4243</v>
      </c>
      <c r="D381" t="s">
        <v>477</v>
      </c>
      <c r="E381">
        <v>2024</v>
      </c>
      <c r="F381" t="s">
        <v>4244</v>
      </c>
      <c r="G381" s="6" t="s">
        <v>4245</v>
      </c>
      <c r="H381" t="s">
        <v>4246</v>
      </c>
      <c r="I381" t="s">
        <v>4247</v>
      </c>
      <c r="K381" t="s">
        <v>4248</v>
      </c>
      <c r="L381" t="s">
        <v>4249</v>
      </c>
      <c r="M381" t="s">
        <v>4250</v>
      </c>
      <c r="N381">
        <v>2024</v>
      </c>
      <c r="O381" s="1">
        <v>45783.306377314817</v>
      </c>
      <c r="P381" s="1">
        <v>45783.406076388892</v>
      </c>
      <c r="R381" t="s">
        <v>4251</v>
      </c>
      <c r="AC381" t="s">
        <v>3194</v>
      </c>
      <c r="AD381" t="s">
        <v>589</v>
      </c>
      <c r="AL381" t="s">
        <v>3369</v>
      </c>
      <c r="AP381" t="s">
        <v>4252</v>
      </c>
    </row>
    <row r="382" spans="1:74" x14ac:dyDescent="0.2">
      <c r="A382" t="s">
        <v>7034</v>
      </c>
      <c r="B382" t="s">
        <v>6658</v>
      </c>
      <c r="C382" t="s">
        <v>5043</v>
      </c>
      <c r="D382" t="s">
        <v>477</v>
      </c>
      <c r="E382">
        <v>2024</v>
      </c>
      <c r="F382" t="s">
        <v>5044</v>
      </c>
      <c r="G382" s="6" t="s">
        <v>5045</v>
      </c>
      <c r="H382" t="s">
        <v>5046</v>
      </c>
      <c r="I382" t="s">
        <v>5047</v>
      </c>
      <c r="K382" t="s">
        <v>5048</v>
      </c>
      <c r="L382" t="s">
        <v>5049</v>
      </c>
      <c r="M382" t="s">
        <v>5050</v>
      </c>
      <c r="N382">
        <v>2024</v>
      </c>
      <c r="O382" s="1">
        <v>45783.306388888886</v>
      </c>
      <c r="P382" s="1">
        <v>45783.471307870372</v>
      </c>
      <c r="R382" t="s">
        <v>5051</v>
      </c>
      <c r="Y382" t="s">
        <v>5052</v>
      </c>
      <c r="AC382" t="s">
        <v>1167</v>
      </c>
      <c r="AD382" t="s">
        <v>3218</v>
      </c>
      <c r="AL382" t="s">
        <v>5053</v>
      </c>
      <c r="AP382" t="s">
        <v>5054</v>
      </c>
    </row>
    <row r="383" spans="1:74" x14ac:dyDescent="0.2">
      <c r="A383" t="s">
        <v>6684</v>
      </c>
      <c r="B383" t="s">
        <v>7035</v>
      </c>
      <c r="C383" t="s">
        <v>3352</v>
      </c>
      <c r="D383" t="s">
        <v>102</v>
      </c>
      <c r="E383">
        <v>2024</v>
      </c>
      <c r="F383" t="s">
        <v>3353</v>
      </c>
      <c r="G383" s="6" t="s">
        <v>3354</v>
      </c>
      <c r="H383" t="s">
        <v>3289</v>
      </c>
      <c r="J383" t="s">
        <v>3290</v>
      </c>
      <c r="K383" t="s">
        <v>3355</v>
      </c>
      <c r="L383" t="s">
        <v>3356</v>
      </c>
      <c r="M383" t="s">
        <v>3357</v>
      </c>
      <c r="N383" t="s">
        <v>3358</v>
      </c>
      <c r="O383" s="1">
        <v>45783.30636574074</v>
      </c>
      <c r="P383" s="1">
        <v>45783.30636574074</v>
      </c>
      <c r="T383">
        <v>2</v>
      </c>
      <c r="U383">
        <v>17</v>
      </c>
      <c r="AL383" t="s">
        <v>3263</v>
      </c>
      <c r="AP383" t="s">
        <v>3359</v>
      </c>
    </row>
    <row r="384" spans="1:74" x14ac:dyDescent="0.2">
      <c r="A384" t="s">
        <v>6684</v>
      </c>
      <c r="B384" t="s">
        <v>7037</v>
      </c>
      <c r="C384" t="s">
        <v>2592</v>
      </c>
      <c r="D384" t="s">
        <v>102</v>
      </c>
      <c r="E384">
        <v>2010</v>
      </c>
      <c r="F384" t="s">
        <v>2593</v>
      </c>
      <c r="G384" s="6" t="s">
        <v>2594</v>
      </c>
      <c r="H384" t="s">
        <v>877</v>
      </c>
      <c r="J384" t="s">
        <v>2595</v>
      </c>
      <c r="K384" t="s">
        <v>2596</v>
      </c>
      <c r="L384" t="s">
        <v>2597</v>
      </c>
      <c r="M384" t="s">
        <v>2598</v>
      </c>
      <c r="N384">
        <v>2010</v>
      </c>
      <c r="O384" s="1">
        <v>45783.300162037034</v>
      </c>
      <c r="P384" s="1">
        <v>45783.300162037034</v>
      </c>
      <c r="R384" t="s">
        <v>2599</v>
      </c>
      <c r="T384">
        <v>7</v>
      </c>
      <c r="U384">
        <v>68</v>
      </c>
      <c r="W384" t="s">
        <v>882</v>
      </c>
      <c r="AE384" t="s">
        <v>645</v>
      </c>
      <c r="AH384" t="s">
        <v>646</v>
      </c>
      <c r="AP384" t="s">
        <v>2600</v>
      </c>
    </row>
    <row r="385" spans="1:74" x14ac:dyDescent="0.2">
      <c r="A385" t="s">
        <v>6684</v>
      </c>
      <c r="B385" t="s">
        <v>7035</v>
      </c>
      <c r="C385" t="s">
        <v>1465</v>
      </c>
      <c r="D385" t="s">
        <v>102</v>
      </c>
      <c r="E385">
        <v>2021</v>
      </c>
      <c r="F385" t="s">
        <v>1466</v>
      </c>
      <c r="G385" s="6" t="s">
        <v>1467</v>
      </c>
      <c r="H385" t="s">
        <v>909</v>
      </c>
      <c r="J385" t="s">
        <v>910</v>
      </c>
      <c r="K385" t="s">
        <v>1468</v>
      </c>
      <c r="L385" t="s">
        <v>1469</v>
      </c>
      <c r="M385" t="s">
        <v>1470</v>
      </c>
      <c r="N385">
        <v>2021</v>
      </c>
      <c r="O385" s="1">
        <v>45783.300150462965</v>
      </c>
      <c r="P385" s="1">
        <v>45783.300150462965</v>
      </c>
      <c r="R385" s="4">
        <v>41275</v>
      </c>
      <c r="T385">
        <v>5</v>
      </c>
      <c r="U385">
        <v>21</v>
      </c>
      <c r="W385" t="s">
        <v>909</v>
      </c>
      <c r="AE385" t="s">
        <v>645</v>
      </c>
      <c r="AH385" t="s">
        <v>646</v>
      </c>
      <c r="AL385" t="s">
        <v>1471</v>
      </c>
      <c r="AP385" t="s">
        <v>1472</v>
      </c>
    </row>
    <row r="386" spans="1:74" x14ac:dyDescent="0.2">
      <c r="A386" t="s">
        <v>6684</v>
      </c>
      <c r="B386" t="s">
        <v>7050</v>
      </c>
      <c r="C386" t="s">
        <v>3086</v>
      </c>
      <c r="D386" t="s">
        <v>102</v>
      </c>
      <c r="E386">
        <v>2000</v>
      </c>
      <c r="F386" t="s">
        <v>3087</v>
      </c>
      <c r="G386" s="6" t="s">
        <v>3088</v>
      </c>
      <c r="H386" t="s">
        <v>3089</v>
      </c>
      <c r="J386" t="s">
        <v>3090</v>
      </c>
      <c r="K386" t="s">
        <v>3091</v>
      </c>
      <c r="L386" t="s">
        <v>3092</v>
      </c>
      <c r="M386" t="s">
        <v>3093</v>
      </c>
      <c r="N386">
        <v>2000</v>
      </c>
      <c r="O386" s="1">
        <v>45783.300173611111</v>
      </c>
      <c r="P386" s="1">
        <v>45783.300173611111</v>
      </c>
      <c r="R386" t="s">
        <v>3094</v>
      </c>
      <c r="T386" s="3">
        <v>45717</v>
      </c>
      <c r="U386">
        <v>107</v>
      </c>
      <c r="W386" t="s">
        <v>3095</v>
      </c>
      <c r="AE386" t="s">
        <v>645</v>
      </c>
      <c r="AH386" t="s">
        <v>646</v>
      </c>
      <c r="AL386" t="s">
        <v>3096</v>
      </c>
      <c r="AP386" t="s">
        <v>3097</v>
      </c>
    </row>
    <row r="387" spans="1:74" x14ac:dyDescent="0.2">
      <c r="A387" t="s">
        <v>6684</v>
      </c>
      <c r="B387" t="s">
        <v>7035</v>
      </c>
      <c r="C387" t="s">
        <v>2410</v>
      </c>
      <c r="D387" t="s">
        <v>477</v>
      </c>
      <c r="E387">
        <v>2019</v>
      </c>
      <c r="F387" t="s">
        <v>2411</v>
      </c>
      <c r="G387" s="6" t="s">
        <v>2412</v>
      </c>
      <c r="H387" t="s">
        <v>1161</v>
      </c>
      <c r="I387" t="s">
        <v>2413</v>
      </c>
      <c r="K387" t="s">
        <v>2414</v>
      </c>
      <c r="L387" t="s">
        <v>2415</v>
      </c>
      <c r="M387" t="s">
        <v>2416</v>
      </c>
      <c r="N387">
        <v>2019</v>
      </c>
      <c r="O387" s="1">
        <v>45783.300162037034</v>
      </c>
      <c r="P387" s="1">
        <v>45783.300162037034</v>
      </c>
      <c r="R387" t="s">
        <v>2417</v>
      </c>
      <c r="AC387" t="s">
        <v>1167</v>
      </c>
      <c r="AE387" t="s">
        <v>645</v>
      </c>
      <c r="AH387" t="s">
        <v>646</v>
      </c>
      <c r="AL387" t="s">
        <v>1168</v>
      </c>
      <c r="AP387" t="s">
        <v>2418</v>
      </c>
      <c r="BV387" t="s">
        <v>1170</v>
      </c>
    </row>
    <row r="388" spans="1:74" x14ac:dyDescent="0.2">
      <c r="A388" t="s">
        <v>6684</v>
      </c>
      <c r="B388" t="s">
        <v>7038</v>
      </c>
      <c r="C388" t="s">
        <v>3956</v>
      </c>
      <c r="D388" t="s">
        <v>477</v>
      </c>
      <c r="E388">
        <v>2025</v>
      </c>
      <c r="F388" t="s">
        <v>3957</v>
      </c>
      <c r="G388" s="6" t="s">
        <v>3958</v>
      </c>
      <c r="H388" t="s">
        <v>3959</v>
      </c>
      <c r="I388" t="s">
        <v>3960</v>
      </c>
      <c r="K388" t="s">
        <v>3961</v>
      </c>
      <c r="L388" t="s">
        <v>3962</v>
      </c>
      <c r="M388" t="s">
        <v>3963</v>
      </c>
      <c r="N388">
        <v>2025</v>
      </c>
      <c r="O388" s="1">
        <v>45783.306377314817</v>
      </c>
      <c r="P388" s="1">
        <v>45783.306377314817</v>
      </c>
      <c r="Y388" t="s">
        <v>3964</v>
      </c>
      <c r="AC388" t="s">
        <v>1167</v>
      </c>
      <c r="AD388" t="s">
        <v>3218</v>
      </c>
      <c r="AP388" t="s">
        <v>3965</v>
      </c>
    </row>
    <row r="389" spans="1:74" x14ac:dyDescent="0.2">
      <c r="A389" t="s">
        <v>6684</v>
      </c>
      <c r="B389" t="s">
        <v>6685</v>
      </c>
      <c r="C389" t="s">
        <v>3176</v>
      </c>
      <c r="D389" t="s">
        <v>102</v>
      </c>
      <c r="E389">
        <v>2004</v>
      </c>
      <c r="F389" t="s">
        <v>3177</v>
      </c>
      <c r="G389" s="6" t="s">
        <v>3178</v>
      </c>
      <c r="H389" t="s">
        <v>1194</v>
      </c>
      <c r="J389" t="s">
        <v>3179</v>
      </c>
      <c r="K389" t="s">
        <v>3180</v>
      </c>
      <c r="L389" t="s">
        <v>3181</v>
      </c>
      <c r="M389" t="s">
        <v>3182</v>
      </c>
      <c r="N389">
        <v>2004</v>
      </c>
      <c r="O389" s="1">
        <v>45783.300173611111</v>
      </c>
      <c r="P389" s="1">
        <v>45783.300173611111</v>
      </c>
      <c r="R389" t="s">
        <v>3183</v>
      </c>
      <c r="U389">
        <v>3023</v>
      </c>
      <c r="W389" t="s">
        <v>1185</v>
      </c>
      <c r="AE389" t="s">
        <v>645</v>
      </c>
      <c r="AH389" t="s">
        <v>646</v>
      </c>
      <c r="AL389" t="s">
        <v>2159</v>
      </c>
      <c r="AP389" t="s">
        <v>3184</v>
      </c>
    </row>
    <row r="390" spans="1:74" x14ac:dyDescent="0.2">
      <c r="A390" t="s">
        <v>6684</v>
      </c>
      <c r="B390" t="s">
        <v>7035</v>
      </c>
      <c r="C390" t="s">
        <v>6088</v>
      </c>
      <c r="D390" t="s">
        <v>477</v>
      </c>
      <c r="E390">
        <v>2021</v>
      </c>
      <c r="F390" t="s">
        <v>6089</v>
      </c>
      <c r="G390" s="6" t="s">
        <v>6090</v>
      </c>
      <c r="H390" t="s">
        <v>6091</v>
      </c>
      <c r="I390" t="s">
        <v>6092</v>
      </c>
      <c r="K390" t="s">
        <v>6093</v>
      </c>
      <c r="L390" t="s">
        <v>6094</v>
      </c>
      <c r="N390" s="2">
        <v>44440</v>
      </c>
      <c r="O390" s="1">
        <v>45783.312395833331</v>
      </c>
      <c r="P390" s="1">
        <v>45783.452175925922</v>
      </c>
      <c r="Q390" s="1">
        <v>45783.312395833331</v>
      </c>
      <c r="R390" s="3">
        <v>45905</v>
      </c>
      <c r="AC390" t="s">
        <v>5107</v>
      </c>
      <c r="AD390" t="s">
        <v>5250</v>
      </c>
      <c r="AF390" t="s">
        <v>5109</v>
      </c>
      <c r="AJ390" t="s">
        <v>98</v>
      </c>
      <c r="AP390" t="s">
        <v>6095</v>
      </c>
      <c r="BV390" t="s">
        <v>6091</v>
      </c>
    </row>
    <row r="391" spans="1:74" x14ac:dyDescent="0.2">
      <c r="A391" t="s">
        <v>6684</v>
      </c>
      <c r="B391" t="s">
        <v>7035</v>
      </c>
      <c r="C391" t="s">
        <v>336</v>
      </c>
      <c r="D391" t="s">
        <v>88</v>
      </c>
      <c r="E391">
        <v>2023</v>
      </c>
      <c r="F391" t="s">
        <v>337</v>
      </c>
      <c r="G391" s="6" t="s">
        <v>338</v>
      </c>
      <c r="H391" t="s">
        <v>114</v>
      </c>
      <c r="I391" t="s">
        <v>339</v>
      </c>
      <c r="L391" t="s">
        <v>340</v>
      </c>
      <c r="N391">
        <v>2023</v>
      </c>
      <c r="O391" s="1">
        <v>45783.293287037035</v>
      </c>
      <c r="P391" s="1">
        <v>45783.293287037035</v>
      </c>
      <c r="Q391" s="1">
        <v>45783.293287037035</v>
      </c>
      <c r="R391" t="s">
        <v>341</v>
      </c>
      <c r="U391">
        <v>14219</v>
      </c>
      <c r="X391" t="s">
        <v>342</v>
      </c>
      <c r="AC391" t="s">
        <v>95</v>
      </c>
      <c r="AD391" t="s">
        <v>96</v>
      </c>
      <c r="AE391" t="s">
        <v>97</v>
      </c>
      <c r="AJ391" t="s">
        <v>98</v>
      </c>
      <c r="AL391" t="s">
        <v>343</v>
      </c>
      <c r="AR391" t="s">
        <v>120</v>
      </c>
    </row>
    <row r="392" spans="1:74" x14ac:dyDescent="0.2">
      <c r="A392" t="s">
        <v>6684</v>
      </c>
      <c r="B392" t="s">
        <v>7035</v>
      </c>
      <c r="C392" t="s">
        <v>3318</v>
      </c>
      <c r="D392" t="s">
        <v>477</v>
      </c>
      <c r="E392">
        <v>2024</v>
      </c>
      <c r="F392" t="s">
        <v>3319</v>
      </c>
      <c r="G392" s="6" t="s">
        <v>3320</v>
      </c>
      <c r="H392" t="s">
        <v>3321</v>
      </c>
      <c r="I392" t="s">
        <v>3322</v>
      </c>
      <c r="K392" t="s">
        <v>3323</v>
      </c>
      <c r="L392" t="s">
        <v>3324</v>
      </c>
      <c r="M392" t="s">
        <v>3325</v>
      </c>
      <c r="N392">
        <v>2024</v>
      </c>
      <c r="O392" s="1">
        <v>45783.293229166666</v>
      </c>
      <c r="P392" s="1">
        <v>45784.354502314818</v>
      </c>
      <c r="R392" t="s">
        <v>3326</v>
      </c>
      <c r="U392">
        <v>14715</v>
      </c>
      <c r="AC392" t="s">
        <v>3194</v>
      </c>
      <c r="AD392" t="s">
        <v>589</v>
      </c>
      <c r="AL392" t="s">
        <v>3195</v>
      </c>
      <c r="AP392" t="s">
        <v>3327</v>
      </c>
    </row>
    <row r="393" spans="1:74" x14ac:dyDescent="0.2">
      <c r="A393" t="s">
        <v>6684</v>
      </c>
      <c r="B393" t="s">
        <v>7050</v>
      </c>
      <c r="C393" t="s">
        <v>5576</v>
      </c>
      <c r="D393" t="s">
        <v>477</v>
      </c>
      <c r="E393">
        <v>2021</v>
      </c>
      <c r="F393" t="s">
        <v>5577</v>
      </c>
      <c r="G393" s="6" t="s">
        <v>5578</v>
      </c>
      <c r="H393" t="s">
        <v>5579</v>
      </c>
      <c r="I393" t="s">
        <v>5580</v>
      </c>
      <c r="K393" t="s">
        <v>5581</v>
      </c>
      <c r="L393" t="s">
        <v>5582</v>
      </c>
      <c r="N393" s="2">
        <v>44504</v>
      </c>
      <c r="O393" s="1">
        <v>45783.311620370368</v>
      </c>
      <c r="P393" s="1">
        <v>45783.311620370368</v>
      </c>
      <c r="Q393" s="1">
        <v>45783.311620370368</v>
      </c>
      <c r="R393" s="3">
        <v>45748</v>
      </c>
      <c r="X393" t="s">
        <v>5583</v>
      </c>
      <c r="AC393" t="s">
        <v>5107</v>
      </c>
      <c r="AD393" t="s">
        <v>5584</v>
      </c>
      <c r="AF393" t="s">
        <v>5140</v>
      </c>
      <c r="AJ393" t="s">
        <v>98</v>
      </c>
      <c r="BV393" t="s">
        <v>5579</v>
      </c>
    </row>
    <row r="394" spans="1:74" x14ac:dyDescent="0.2">
      <c r="A394" t="s">
        <v>6684</v>
      </c>
      <c r="B394" t="s">
        <v>7035</v>
      </c>
      <c r="C394" t="s">
        <v>184</v>
      </c>
      <c r="D394" t="s">
        <v>88</v>
      </c>
      <c r="E394">
        <v>2024</v>
      </c>
      <c r="F394" t="s">
        <v>185</v>
      </c>
      <c r="G394" s="6" t="s">
        <v>186</v>
      </c>
      <c r="H394" t="s">
        <v>187</v>
      </c>
      <c r="I394" t="s">
        <v>188</v>
      </c>
      <c r="L394" t="s">
        <v>189</v>
      </c>
      <c r="N394">
        <v>2024</v>
      </c>
      <c r="O394" s="1">
        <v>45783.293078703704</v>
      </c>
      <c r="P394" s="1">
        <v>45783.293078703704</v>
      </c>
      <c r="Q394" s="1">
        <v>45783.293078703704</v>
      </c>
      <c r="R394" t="s">
        <v>190</v>
      </c>
      <c r="U394">
        <v>14694</v>
      </c>
      <c r="AC394" t="s">
        <v>95</v>
      </c>
      <c r="AD394" t="s">
        <v>96</v>
      </c>
      <c r="AE394" t="s">
        <v>97</v>
      </c>
      <c r="AJ394" t="s">
        <v>98</v>
      </c>
      <c r="AL394" t="s">
        <v>191</v>
      </c>
      <c r="AR394" t="s">
        <v>192</v>
      </c>
    </row>
    <row r="395" spans="1:74" x14ac:dyDescent="0.2">
      <c r="A395" t="s">
        <v>7034</v>
      </c>
      <c r="B395" t="s">
        <v>6658</v>
      </c>
      <c r="C395" t="s">
        <v>362</v>
      </c>
      <c r="D395" t="s">
        <v>88</v>
      </c>
      <c r="E395">
        <v>2023</v>
      </c>
      <c r="F395" t="s">
        <v>363</v>
      </c>
      <c r="G395" s="6" t="s">
        <v>364</v>
      </c>
      <c r="H395" t="s">
        <v>365</v>
      </c>
      <c r="I395" t="s">
        <v>366</v>
      </c>
      <c r="L395" t="s">
        <v>367</v>
      </c>
      <c r="N395">
        <v>2023</v>
      </c>
      <c r="O395" s="1">
        <v>45783.293310185189</v>
      </c>
      <c r="P395" s="1">
        <v>45783.293310185189</v>
      </c>
      <c r="Q395" s="1">
        <v>45783.293310185189</v>
      </c>
      <c r="R395" t="s">
        <v>368</v>
      </c>
      <c r="U395">
        <v>343</v>
      </c>
      <c r="X395" t="s">
        <v>369</v>
      </c>
      <c r="AC395" t="s">
        <v>211</v>
      </c>
      <c r="AD395" t="s">
        <v>212</v>
      </c>
      <c r="AE395" t="s">
        <v>97</v>
      </c>
      <c r="AJ395" t="s">
        <v>98</v>
      </c>
      <c r="AL395" t="s">
        <v>370</v>
      </c>
      <c r="AR395" t="s">
        <v>371</v>
      </c>
    </row>
    <row r="396" spans="1:74" x14ac:dyDescent="0.2">
      <c r="A396" t="s">
        <v>7034</v>
      </c>
      <c r="B396" t="s">
        <v>6658</v>
      </c>
      <c r="C396" t="s">
        <v>3275</v>
      </c>
      <c r="D396" t="s">
        <v>102</v>
      </c>
      <c r="E396">
        <v>2024</v>
      </c>
      <c r="F396" t="s">
        <v>3276</v>
      </c>
      <c r="G396" s="6" t="s">
        <v>3277</v>
      </c>
      <c r="H396" t="s">
        <v>3278</v>
      </c>
      <c r="J396" t="s">
        <v>3279</v>
      </c>
      <c r="K396" t="s">
        <v>3280</v>
      </c>
      <c r="L396" t="s">
        <v>3281</v>
      </c>
      <c r="N396" t="s">
        <v>3282</v>
      </c>
      <c r="O396" s="1">
        <v>45783.30636574074</v>
      </c>
      <c r="P396" s="1">
        <v>45783.30636574074</v>
      </c>
      <c r="T396" t="s">
        <v>3283</v>
      </c>
      <c r="U396">
        <v>190</v>
      </c>
      <c r="AL396" t="s">
        <v>3284</v>
      </c>
      <c r="AP396" t="s">
        <v>3285</v>
      </c>
    </row>
    <row r="397" spans="1:74" x14ac:dyDescent="0.2">
      <c r="A397" t="s">
        <v>7034</v>
      </c>
      <c r="B397" t="s">
        <v>7048</v>
      </c>
      <c r="C397" t="s">
        <v>6573</v>
      </c>
      <c r="D397" t="s">
        <v>102</v>
      </c>
      <c r="E397">
        <v>2023</v>
      </c>
      <c r="F397" t="s">
        <v>6574</v>
      </c>
      <c r="G397" s="6" t="s">
        <v>6575</v>
      </c>
      <c r="H397" t="s">
        <v>6576</v>
      </c>
      <c r="J397" t="s">
        <v>6577</v>
      </c>
      <c r="K397" t="s">
        <v>6578</v>
      </c>
      <c r="L397" t="s">
        <v>6579</v>
      </c>
      <c r="N397" s="2">
        <v>44927</v>
      </c>
      <c r="O397" s="1">
        <v>45783.313761574071</v>
      </c>
      <c r="P397" s="1">
        <v>45783.472372685188</v>
      </c>
      <c r="Q397" s="1">
        <v>45783.313761574071</v>
      </c>
      <c r="R397" t="s">
        <v>6580</v>
      </c>
      <c r="T397">
        <v>1</v>
      </c>
      <c r="U397">
        <v>49</v>
      </c>
      <c r="W397" t="s">
        <v>6581</v>
      </c>
      <c r="X397" t="s">
        <v>6582</v>
      </c>
      <c r="AF397" t="s">
        <v>5140</v>
      </c>
      <c r="AJ397" t="s">
        <v>98</v>
      </c>
      <c r="AN397" t="s">
        <v>6583</v>
      </c>
      <c r="AP397" t="s">
        <v>6584</v>
      </c>
    </row>
    <row r="398" spans="1:74" x14ac:dyDescent="0.2">
      <c r="A398" t="s">
        <v>6684</v>
      </c>
      <c r="B398" t="s">
        <v>7035</v>
      </c>
      <c r="C398" t="s">
        <v>1604</v>
      </c>
      <c r="D398" t="s">
        <v>102</v>
      </c>
      <c r="E398">
        <v>2020</v>
      </c>
      <c r="F398" t="s">
        <v>1605</v>
      </c>
      <c r="G398" s="6" t="s">
        <v>1606</v>
      </c>
      <c r="H398" t="s">
        <v>820</v>
      </c>
      <c r="J398" t="s">
        <v>821</v>
      </c>
      <c r="K398" t="s">
        <v>1607</v>
      </c>
      <c r="L398" t="s">
        <v>1608</v>
      </c>
      <c r="M398" t="s">
        <v>1609</v>
      </c>
      <c r="N398">
        <v>2020</v>
      </c>
      <c r="O398" s="1">
        <v>45783.300150462965</v>
      </c>
      <c r="P398" s="1">
        <v>45783.300150462965</v>
      </c>
      <c r="T398">
        <v>3</v>
      </c>
      <c r="U398">
        <v>10</v>
      </c>
      <c r="W398" t="s">
        <v>825</v>
      </c>
      <c r="AE398" t="s">
        <v>645</v>
      </c>
      <c r="AH398" t="s">
        <v>646</v>
      </c>
      <c r="AL398" t="s">
        <v>1471</v>
      </c>
      <c r="AP398" t="s">
        <v>1610</v>
      </c>
    </row>
    <row r="399" spans="1:74" x14ac:dyDescent="0.2">
      <c r="A399" t="s">
        <v>7034</v>
      </c>
      <c r="B399" t="s">
        <v>7048</v>
      </c>
      <c r="C399" t="s">
        <v>3996</v>
      </c>
      <c r="D399" t="s">
        <v>477</v>
      </c>
      <c r="E399">
        <v>2023</v>
      </c>
      <c r="F399" t="s">
        <v>3997</v>
      </c>
      <c r="G399" s="6" t="s">
        <v>3998</v>
      </c>
      <c r="H399" t="s">
        <v>3999</v>
      </c>
      <c r="I399" t="s">
        <v>4000</v>
      </c>
      <c r="K399" t="s">
        <v>4001</v>
      </c>
      <c r="L399" t="s">
        <v>4002</v>
      </c>
      <c r="M399" t="s">
        <v>4003</v>
      </c>
      <c r="N399">
        <v>2023</v>
      </c>
      <c r="O399" s="1">
        <v>45783.306377314817</v>
      </c>
      <c r="P399" s="1">
        <v>45783.472627314812</v>
      </c>
      <c r="Y399" t="s">
        <v>4004</v>
      </c>
      <c r="AC399" t="s">
        <v>1167</v>
      </c>
      <c r="AD399" t="s">
        <v>3218</v>
      </c>
      <c r="AL399" t="s">
        <v>4005</v>
      </c>
      <c r="AP399" t="s">
        <v>4006</v>
      </c>
    </row>
    <row r="400" spans="1:74" x14ac:dyDescent="0.2">
      <c r="A400" t="s">
        <v>7034</v>
      </c>
      <c r="B400" t="s">
        <v>7048</v>
      </c>
      <c r="C400" t="s">
        <v>1231</v>
      </c>
      <c r="D400" t="s">
        <v>477</v>
      </c>
      <c r="E400">
        <v>2023</v>
      </c>
      <c r="F400" t="s">
        <v>1232</v>
      </c>
      <c r="G400" s="6" t="s">
        <v>1233</v>
      </c>
      <c r="H400" t="s">
        <v>1043</v>
      </c>
      <c r="I400" t="s">
        <v>1234</v>
      </c>
      <c r="K400" t="s">
        <v>1235</v>
      </c>
      <c r="L400" t="s">
        <v>1236</v>
      </c>
      <c r="M400" t="s">
        <v>1237</v>
      </c>
      <c r="N400">
        <v>2023</v>
      </c>
      <c r="O400" s="1">
        <v>45783.300150462965</v>
      </c>
      <c r="P400" s="1">
        <v>45783.300150462965</v>
      </c>
      <c r="R400" t="s">
        <v>1238</v>
      </c>
      <c r="U400" t="s">
        <v>1239</v>
      </c>
      <c r="AC400" t="s">
        <v>787</v>
      </c>
      <c r="AE400" t="s">
        <v>645</v>
      </c>
      <c r="AH400" t="s">
        <v>646</v>
      </c>
      <c r="AL400" t="s">
        <v>1050</v>
      </c>
      <c r="AP400" t="s">
        <v>1240</v>
      </c>
      <c r="AR400" t="s">
        <v>1241</v>
      </c>
      <c r="BV400" t="s">
        <v>1053</v>
      </c>
    </row>
    <row r="401" spans="1:74" x14ac:dyDescent="0.2">
      <c r="A401" t="s">
        <v>6684</v>
      </c>
      <c r="B401" t="s">
        <v>7036</v>
      </c>
      <c r="C401" t="s">
        <v>1940</v>
      </c>
      <c r="D401" t="s">
        <v>102</v>
      </c>
      <c r="E401">
        <v>2020</v>
      </c>
      <c r="F401" t="s">
        <v>1941</v>
      </c>
      <c r="G401" s="6" t="s">
        <v>1942</v>
      </c>
      <c r="H401" t="s">
        <v>1596</v>
      </c>
      <c r="J401" t="s">
        <v>1597</v>
      </c>
      <c r="K401" t="s">
        <v>1943</v>
      </c>
      <c r="L401" t="s">
        <v>1944</v>
      </c>
      <c r="M401" t="s">
        <v>1945</v>
      </c>
      <c r="N401">
        <v>2020</v>
      </c>
      <c r="O401" s="1">
        <v>45783.300162037034</v>
      </c>
      <c r="P401" s="1">
        <v>45783.300162037034</v>
      </c>
      <c r="R401" t="s">
        <v>1946</v>
      </c>
      <c r="U401">
        <v>72</v>
      </c>
      <c r="W401" t="s">
        <v>1602</v>
      </c>
      <c r="AE401" t="s">
        <v>645</v>
      </c>
      <c r="AH401" t="s">
        <v>646</v>
      </c>
      <c r="AL401" t="s">
        <v>706</v>
      </c>
      <c r="AP401" t="s">
        <v>1947</v>
      </c>
    </row>
    <row r="402" spans="1:74" x14ac:dyDescent="0.2">
      <c r="A402" t="s">
        <v>7034</v>
      </c>
      <c r="B402" t="s">
        <v>7048</v>
      </c>
      <c r="C402" t="s">
        <v>673</v>
      </c>
      <c r="D402" t="s">
        <v>477</v>
      </c>
      <c r="E402">
        <v>2024</v>
      </c>
      <c r="F402" t="s">
        <v>674</v>
      </c>
      <c r="G402" s="6" t="s">
        <v>675</v>
      </c>
      <c r="H402" t="s">
        <v>676</v>
      </c>
      <c r="I402" t="s">
        <v>677</v>
      </c>
      <c r="K402" t="s">
        <v>678</v>
      </c>
      <c r="L402" t="s">
        <v>679</v>
      </c>
      <c r="M402" t="s">
        <v>680</v>
      </c>
      <c r="N402">
        <v>2024</v>
      </c>
      <c r="O402" s="1">
        <v>45783.300138888888</v>
      </c>
      <c r="P402" s="1">
        <v>45783.300138888888</v>
      </c>
      <c r="AC402" t="s">
        <v>681</v>
      </c>
      <c r="AE402" t="s">
        <v>645</v>
      </c>
      <c r="AH402" t="s">
        <v>646</v>
      </c>
      <c r="AL402" t="s">
        <v>682</v>
      </c>
      <c r="AP402" t="s">
        <v>683</v>
      </c>
      <c r="BV402" t="s">
        <v>684</v>
      </c>
    </row>
    <row r="403" spans="1:74" x14ac:dyDescent="0.2">
      <c r="A403" t="s">
        <v>6684</v>
      </c>
      <c r="B403" t="s">
        <v>7035</v>
      </c>
      <c r="C403" t="s">
        <v>4402</v>
      </c>
      <c r="D403" t="s">
        <v>477</v>
      </c>
      <c r="E403">
        <v>2012</v>
      </c>
      <c r="F403" t="s">
        <v>4403</v>
      </c>
      <c r="G403" s="6" t="s">
        <v>4404</v>
      </c>
      <c r="H403" t="s">
        <v>4405</v>
      </c>
      <c r="I403" t="s">
        <v>4406</v>
      </c>
      <c r="K403" t="s">
        <v>4407</v>
      </c>
      <c r="L403" t="s">
        <v>4408</v>
      </c>
      <c r="M403" t="s">
        <v>4409</v>
      </c>
      <c r="N403">
        <v>2012</v>
      </c>
      <c r="O403" s="1">
        <v>45783.306377314817</v>
      </c>
      <c r="P403" s="1">
        <v>45783.306377314817</v>
      </c>
      <c r="R403" t="s">
        <v>4410</v>
      </c>
      <c r="Y403" t="s">
        <v>4411</v>
      </c>
      <c r="AC403" t="s">
        <v>1167</v>
      </c>
      <c r="AD403" t="s">
        <v>3218</v>
      </c>
      <c r="AL403" t="s">
        <v>4412</v>
      </c>
      <c r="AP403" t="s">
        <v>4413</v>
      </c>
    </row>
    <row r="404" spans="1:74" x14ac:dyDescent="0.2">
      <c r="A404" t="s">
        <v>6684</v>
      </c>
      <c r="B404" t="s">
        <v>7035</v>
      </c>
      <c r="C404" t="s">
        <v>6146</v>
      </c>
      <c r="D404" t="s">
        <v>477</v>
      </c>
      <c r="E404">
        <v>2011</v>
      </c>
      <c r="F404" t="s">
        <v>4403</v>
      </c>
      <c r="G404" s="6" t="s">
        <v>6147</v>
      </c>
      <c r="H404" t="s">
        <v>6148</v>
      </c>
      <c r="I404" t="s">
        <v>6149</v>
      </c>
      <c r="K404" t="s">
        <v>6150</v>
      </c>
      <c r="L404" t="s">
        <v>6151</v>
      </c>
      <c r="N404" t="s">
        <v>6152</v>
      </c>
      <c r="O404" s="1">
        <v>45783.312824074077</v>
      </c>
      <c r="P404" s="1">
        <v>45783.312824074077</v>
      </c>
      <c r="Q404" s="1">
        <v>45783.312824074077</v>
      </c>
      <c r="R404" t="s">
        <v>6153</v>
      </c>
      <c r="AC404" t="s">
        <v>5107</v>
      </c>
      <c r="AD404" t="s">
        <v>6154</v>
      </c>
      <c r="AJ404" t="s">
        <v>98</v>
      </c>
      <c r="BV404" t="s">
        <v>6155</v>
      </c>
    </row>
    <row r="405" spans="1:74" x14ac:dyDescent="0.2">
      <c r="A405" t="s">
        <v>6684</v>
      </c>
      <c r="B405" t="s">
        <v>6657</v>
      </c>
      <c r="C405" t="s">
        <v>6392</v>
      </c>
      <c r="D405" t="s">
        <v>477</v>
      </c>
      <c r="E405">
        <v>2020</v>
      </c>
      <c r="F405" t="s">
        <v>6393</v>
      </c>
      <c r="G405" s="6" t="s">
        <v>6394</v>
      </c>
      <c r="H405" t="s">
        <v>5904</v>
      </c>
      <c r="I405" t="s">
        <v>5905</v>
      </c>
      <c r="K405" t="s">
        <v>6395</v>
      </c>
      <c r="L405" t="s">
        <v>6396</v>
      </c>
      <c r="N405" s="2">
        <v>44179</v>
      </c>
      <c r="O405" s="1">
        <v>45783.313530092593</v>
      </c>
      <c r="P405" s="1">
        <v>45783.369351851848</v>
      </c>
      <c r="Q405" s="1">
        <v>45783.313530092593</v>
      </c>
      <c r="R405" s="3">
        <v>45778</v>
      </c>
      <c r="AC405" t="s">
        <v>5107</v>
      </c>
      <c r="AD405" t="s">
        <v>5128</v>
      </c>
      <c r="AF405" t="s">
        <v>5140</v>
      </c>
      <c r="AJ405" t="s">
        <v>98</v>
      </c>
      <c r="AP405" t="s">
        <v>6397</v>
      </c>
      <c r="BV405" t="s">
        <v>5904</v>
      </c>
    </row>
    <row r="406" spans="1:74" x14ac:dyDescent="0.2">
      <c r="A406" t="s">
        <v>6684</v>
      </c>
      <c r="B406" t="s">
        <v>7035</v>
      </c>
      <c r="C406" t="s">
        <v>2028</v>
      </c>
      <c r="D406" t="s">
        <v>102</v>
      </c>
      <c r="E406">
        <v>2020</v>
      </c>
      <c r="F406" t="s">
        <v>2029</v>
      </c>
      <c r="G406" s="6" t="s">
        <v>2030</v>
      </c>
      <c r="H406" t="s">
        <v>1928</v>
      </c>
      <c r="J406" t="s">
        <v>910</v>
      </c>
      <c r="K406" t="s">
        <v>2031</v>
      </c>
      <c r="L406" t="s">
        <v>2032</v>
      </c>
      <c r="M406" t="s">
        <v>2033</v>
      </c>
      <c r="N406">
        <v>2020</v>
      </c>
      <c r="O406" s="1">
        <v>45783.300162037034</v>
      </c>
      <c r="P406" s="1">
        <v>45783.300162037034</v>
      </c>
      <c r="T406">
        <v>10</v>
      </c>
      <c r="U406">
        <v>20</v>
      </c>
      <c r="W406" t="s">
        <v>909</v>
      </c>
      <c r="AE406" t="s">
        <v>645</v>
      </c>
      <c r="AH406" t="s">
        <v>646</v>
      </c>
      <c r="AL406" t="s">
        <v>1471</v>
      </c>
      <c r="AP406" t="s">
        <v>2034</v>
      </c>
    </row>
    <row r="407" spans="1:74" x14ac:dyDescent="0.2">
      <c r="A407" t="s">
        <v>7034</v>
      </c>
      <c r="B407" t="s">
        <v>7047</v>
      </c>
      <c r="C407" t="s">
        <v>5557</v>
      </c>
      <c r="D407" t="s">
        <v>477</v>
      </c>
      <c r="E407">
        <v>2024</v>
      </c>
      <c r="F407" t="s">
        <v>5558</v>
      </c>
      <c r="G407" s="6" t="s">
        <v>5559</v>
      </c>
      <c r="H407" t="s">
        <v>5560</v>
      </c>
      <c r="I407" t="s">
        <v>5561</v>
      </c>
      <c r="K407" t="s">
        <v>5562</v>
      </c>
      <c r="L407" t="s">
        <v>5563</v>
      </c>
      <c r="N407" s="2">
        <v>45366</v>
      </c>
      <c r="O407" s="1">
        <v>45783.311597222222</v>
      </c>
      <c r="P407" s="1">
        <v>45783.311597222222</v>
      </c>
      <c r="Q407" s="1">
        <v>45783.311597222222</v>
      </c>
      <c r="R407" s="3">
        <v>45809</v>
      </c>
      <c r="AC407" t="s">
        <v>5107</v>
      </c>
      <c r="AD407" t="s">
        <v>5564</v>
      </c>
      <c r="AF407" t="s">
        <v>5109</v>
      </c>
      <c r="AJ407" t="s">
        <v>98</v>
      </c>
      <c r="BV407" t="s">
        <v>5560</v>
      </c>
    </row>
    <row r="408" spans="1:74" x14ac:dyDescent="0.2">
      <c r="A408" t="s">
        <v>6684</v>
      </c>
      <c r="B408" t="s">
        <v>7035</v>
      </c>
      <c r="C408" t="s">
        <v>6033</v>
      </c>
      <c r="D408" t="s">
        <v>477</v>
      </c>
      <c r="E408">
        <v>2022</v>
      </c>
      <c r="F408" t="s">
        <v>6034</v>
      </c>
      <c r="G408" s="6" t="s">
        <v>6035</v>
      </c>
      <c r="H408" t="s">
        <v>5451</v>
      </c>
      <c r="I408" t="s">
        <v>5452</v>
      </c>
      <c r="K408" t="s">
        <v>6036</v>
      </c>
      <c r="L408" t="s">
        <v>6037</v>
      </c>
      <c r="N408" t="s">
        <v>5455</v>
      </c>
      <c r="O408" s="1">
        <v>45783.312303240738</v>
      </c>
      <c r="P408" s="1">
        <v>45783.312303240738</v>
      </c>
      <c r="Q408" s="1">
        <v>45783.312303240738</v>
      </c>
      <c r="R408" t="s">
        <v>6038</v>
      </c>
      <c r="AC408" t="s">
        <v>5107</v>
      </c>
      <c r="AD408" t="s">
        <v>5458</v>
      </c>
      <c r="AF408" t="s">
        <v>5109</v>
      </c>
      <c r="AJ408" t="s">
        <v>98</v>
      </c>
      <c r="BV408" t="s">
        <v>5451</v>
      </c>
    </row>
    <row r="409" spans="1:74" x14ac:dyDescent="0.2">
      <c r="A409" t="s">
        <v>6684</v>
      </c>
      <c r="B409" t="s">
        <v>7035</v>
      </c>
      <c r="C409" t="s">
        <v>2184</v>
      </c>
      <c r="D409" t="s">
        <v>477</v>
      </c>
      <c r="E409">
        <v>2015</v>
      </c>
      <c r="F409" t="s">
        <v>2185</v>
      </c>
      <c r="G409" s="6" t="s">
        <v>2186</v>
      </c>
      <c r="H409" t="s">
        <v>2187</v>
      </c>
      <c r="I409" t="s">
        <v>2188</v>
      </c>
      <c r="K409" t="s">
        <v>2189</v>
      </c>
      <c r="L409" t="s">
        <v>2190</v>
      </c>
      <c r="M409" t="s">
        <v>2191</v>
      </c>
      <c r="N409">
        <v>2015</v>
      </c>
      <c r="O409" s="1">
        <v>45783.300162037034</v>
      </c>
      <c r="P409" s="1">
        <v>45783.300162037034</v>
      </c>
      <c r="R409" t="s">
        <v>2192</v>
      </c>
      <c r="U409">
        <v>75</v>
      </c>
      <c r="AC409" t="s">
        <v>860</v>
      </c>
      <c r="AE409" t="s">
        <v>645</v>
      </c>
      <c r="AH409" t="s">
        <v>646</v>
      </c>
      <c r="AL409" t="s">
        <v>2193</v>
      </c>
      <c r="AP409" t="s">
        <v>2194</v>
      </c>
      <c r="AR409" t="s">
        <v>2195</v>
      </c>
      <c r="BV409" t="s">
        <v>2196</v>
      </c>
    </row>
    <row r="410" spans="1:74" x14ac:dyDescent="0.2">
      <c r="A410" t="s">
        <v>7034</v>
      </c>
      <c r="B410" t="s">
        <v>7047</v>
      </c>
      <c r="C410" t="s">
        <v>4891</v>
      </c>
      <c r="D410" t="s">
        <v>477</v>
      </c>
      <c r="E410">
        <v>2023</v>
      </c>
      <c r="F410" t="s">
        <v>4892</v>
      </c>
      <c r="G410" s="6" t="s">
        <v>4893</v>
      </c>
      <c r="H410" t="s">
        <v>4894</v>
      </c>
      <c r="I410" t="s">
        <v>4895</v>
      </c>
      <c r="K410" t="s">
        <v>4896</v>
      </c>
      <c r="L410" t="s">
        <v>4897</v>
      </c>
      <c r="M410" t="s">
        <v>4898</v>
      </c>
      <c r="N410">
        <v>2023</v>
      </c>
      <c r="O410" s="1">
        <v>45783.306377314817</v>
      </c>
      <c r="P410" s="1">
        <v>45783.306377314817</v>
      </c>
      <c r="R410" t="s">
        <v>4899</v>
      </c>
      <c r="AC410" t="s">
        <v>3194</v>
      </c>
      <c r="AD410" t="s">
        <v>589</v>
      </c>
      <c r="AL410" t="s">
        <v>3206</v>
      </c>
      <c r="AP410" t="s">
        <v>4900</v>
      </c>
    </row>
    <row r="411" spans="1:74" x14ac:dyDescent="0.2">
      <c r="A411" t="s">
        <v>6684</v>
      </c>
      <c r="B411" t="s">
        <v>6685</v>
      </c>
      <c r="C411" t="s">
        <v>1408</v>
      </c>
      <c r="D411" t="s">
        <v>477</v>
      </c>
      <c r="E411">
        <v>2023</v>
      </c>
      <c r="F411" t="s">
        <v>1409</v>
      </c>
      <c r="G411" s="6" t="s">
        <v>1410</v>
      </c>
      <c r="H411" t="s">
        <v>1161</v>
      </c>
      <c r="I411" t="s">
        <v>1411</v>
      </c>
      <c r="K411" t="s">
        <v>1412</v>
      </c>
      <c r="L411" t="s">
        <v>1413</v>
      </c>
      <c r="M411" t="s">
        <v>1414</v>
      </c>
      <c r="N411">
        <v>2023</v>
      </c>
      <c r="O411" s="1">
        <v>45783.300150462965</v>
      </c>
      <c r="P411" s="1">
        <v>45783.300150462965</v>
      </c>
      <c r="R411" t="s">
        <v>1415</v>
      </c>
      <c r="AC411" t="s">
        <v>1167</v>
      </c>
      <c r="AE411" t="s">
        <v>645</v>
      </c>
      <c r="AH411" t="s">
        <v>646</v>
      </c>
      <c r="AL411" t="s">
        <v>1168</v>
      </c>
      <c r="AP411" t="s">
        <v>1416</v>
      </c>
      <c r="BV411" t="s">
        <v>1170</v>
      </c>
    </row>
    <row r="412" spans="1:74" x14ac:dyDescent="0.2">
      <c r="A412" t="s">
        <v>7034</v>
      </c>
      <c r="B412" t="s">
        <v>6667</v>
      </c>
      <c r="C412" t="s">
        <v>3527</v>
      </c>
      <c r="D412" t="s">
        <v>477</v>
      </c>
      <c r="E412">
        <v>2021</v>
      </c>
      <c r="F412" t="s">
        <v>3528</v>
      </c>
      <c r="G412" s="6" t="s">
        <v>3529</v>
      </c>
      <c r="H412" t="s">
        <v>3530</v>
      </c>
      <c r="I412" t="s">
        <v>3531</v>
      </c>
      <c r="K412" t="s">
        <v>3532</v>
      </c>
      <c r="L412" t="s">
        <v>3533</v>
      </c>
      <c r="M412" t="s">
        <v>3534</v>
      </c>
      <c r="N412">
        <v>2021</v>
      </c>
      <c r="O412" s="1">
        <v>45783.30636574074</v>
      </c>
      <c r="P412" s="1">
        <v>45783.30636574074</v>
      </c>
      <c r="Y412" t="s">
        <v>3535</v>
      </c>
      <c r="AC412" t="s">
        <v>1167</v>
      </c>
      <c r="AD412" t="s">
        <v>3218</v>
      </c>
      <c r="AL412" t="s">
        <v>3536</v>
      </c>
      <c r="AP412" t="s">
        <v>3537</v>
      </c>
    </row>
    <row r="413" spans="1:74" x14ac:dyDescent="0.2">
      <c r="A413" t="s">
        <v>6684</v>
      </c>
      <c r="B413" t="s">
        <v>7035</v>
      </c>
      <c r="C413" t="s">
        <v>305</v>
      </c>
      <c r="D413" t="s">
        <v>102</v>
      </c>
      <c r="E413">
        <v>2022</v>
      </c>
      <c r="F413" t="s">
        <v>306</v>
      </c>
      <c r="G413" s="6" t="s">
        <v>307</v>
      </c>
      <c r="H413" t="s">
        <v>268</v>
      </c>
      <c r="J413" t="s">
        <v>269</v>
      </c>
      <c r="K413" t="s">
        <v>308</v>
      </c>
      <c r="L413" t="s">
        <v>309</v>
      </c>
      <c r="M413" t="s">
        <v>310</v>
      </c>
      <c r="N413" t="s">
        <v>311</v>
      </c>
      <c r="O413" s="1">
        <v>45783.293252314812</v>
      </c>
      <c r="P413" s="1">
        <v>45784.285798611112</v>
      </c>
      <c r="Q413" s="1">
        <v>45783.293252314812</v>
      </c>
      <c r="R413" t="s">
        <v>312</v>
      </c>
      <c r="T413">
        <v>4</v>
      </c>
      <c r="U413">
        <v>21</v>
      </c>
      <c r="W413" t="s">
        <v>274</v>
      </c>
      <c r="AE413" t="s">
        <v>97</v>
      </c>
      <c r="AJ413" t="s">
        <v>98</v>
      </c>
      <c r="AN413" t="s">
        <v>313</v>
      </c>
      <c r="AP413" t="s">
        <v>314</v>
      </c>
    </row>
    <row r="414" spans="1:74" x14ac:dyDescent="0.2">
      <c r="A414" t="s">
        <v>6684</v>
      </c>
      <c r="B414" t="s">
        <v>7035</v>
      </c>
      <c r="C414" t="s">
        <v>5618</v>
      </c>
      <c r="D414" t="s">
        <v>102</v>
      </c>
      <c r="E414">
        <v>2016</v>
      </c>
      <c r="F414" t="s">
        <v>5619</v>
      </c>
      <c r="G414" s="6" t="s">
        <v>5620</v>
      </c>
      <c r="H414" t="s">
        <v>5226</v>
      </c>
      <c r="J414" t="s">
        <v>5621</v>
      </c>
      <c r="K414" t="s">
        <v>5622</v>
      </c>
      <c r="L414" t="s">
        <v>5623</v>
      </c>
      <c r="N414" s="2">
        <v>42711</v>
      </c>
      <c r="O414" s="1">
        <v>45783.311666666668</v>
      </c>
      <c r="P414" s="1">
        <v>45783.311666666668</v>
      </c>
      <c r="Q414" s="1">
        <v>45783.311666666668</v>
      </c>
      <c r="R414" t="s">
        <v>5624</v>
      </c>
      <c r="W414" t="s">
        <v>5625</v>
      </c>
      <c r="AE414" t="s">
        <v>97</v>
      </c>
      <c r="AJ414" t="s">
        <v>98</v>
      </c>
    </row>
    <row r="415" spans="1:74" x14ac:dyDescent="0.2">
      <c r="A415" t="s">
        <v>6684</v>
      </c>
      <c r="B415" t="s">
        <v>6657</v>
      </c>
      <c r="C415" t="s">
        <v>4504</v>
      </c>
      <c r="D415" t="s">
        <v>477</v>
      </c>
      <c r="E415">
        <v>2022</v>
      </c>
      <c r="F415" t="s">
        <v>4505</v>
      </c>
      <c r="G415" s="6" t="s">
        <v>4506</v>
      </c>
      <c r="H415" t="s">
        <v>4507</v>
      </c>
      <c r="I415" t="s">
        <v>4508</v>
      </c>
      <c r="K415" t="s">
        <v>4509</v>
      </c>
      <c r="L415" t="s">
        <v>4510</v>
      </c>
      <c r="M415" t="s">
        <v>4511</v>
      </c>
      <c r="N415">
        <v>2022</v>
      </c>
      <c r="O415" s="1">
        <v>45783.306377314817</v>
      </c>
      <c r="P415" s="1">
        <v>45783.469282407408</v>
      </c>
      <c r="R415" t="s">
        <v>4512</v>
      </c>
      <c r="AC415" t="s">
        <v>3194</v>
      </c>
      <c r="AD415" t="s">
        <v>589</v>
      </c>
      <c r="AL415" t="s">
        <v>4513</v>
      </c>
      <c r="AP415" t="s">
        <v>4514</v>
      </c>
    </row>
    <row r="416" spans="1:74" x14ac:dyDescent="0.2">
      <c r="A416" t="s">
        <v>7034</v>
      </c>
      <c r="B416" t="s">
        <v>7048</v>
      </c>
      <c r="C416" t="s">
        <v>915</v>
      </c>
      <c r="D416" t="s">
        <v>102</v>
      </c>
      <c r="E416">
        <v>2023</v>
      </c>
      <c r="F416" t="s">
        <v>916</v>
      </c>
      <c r="G416" s="6" t="s">
        <v>917</v>
      </c>
      <c r="H416" t="s">
        <v>918</v>
      </c>
      <c r="J416" t="s">
        <v>919</v>
      </c>
      <c r="K416" t="s">
        <v>920</v>
      </c>
      <c r="L416" t="s">
        <v>921</v>
      </c>
      <c r="M416" t="s">
        <v>922</v>
      </c>
      <c r="N416">
        <v>2023</v>
      </c>
      <c r="O416" s="1">
        <v>45783.300150462965</v>
      </c>
      <c r="P416" s="1">
        <v>45783.300150462965</v>
      </c>
      <c r="R416" t="s">
        <v>923</v>
      </c>
      <c r="T416">
        <v>3</v>
      </c>
      <c r="U416">
        <v>22</v>
      </c>
      <c r="W416" t="s">
        <v>918</v>
      </c>
      <c r="AE416" t="s">
        <v>645</v>
      </c>
      <c r="AH416" t="s">
        <v>646</v>
      </c>
      <c r="AL416" t="s">
        <v>924</v>
      </c>
      <c r="AP416" t="s">
        <v>925</v>
      </c>
    </row>
    <row r="417" spans="1:74" x14ac:dyDescent="0.2">
      <c r="A417" t="s">
        <v>6684</v>
      </c>
      <c r="B417" t="s">
        <v>7035</v>
      </c>
      <c r="C417" t="s">
        <v>408</v>
      </c>
      <c r="D417" t="s">
        <v>88</v>
      </c>
      <c r="E417">
        <v>2022</v>
      </c>
      <c r="F417" t="s">
        <v>409</v>
      </c>
      <c r="G417" s="6" t="s">
        <v>410</v>
      </c>
      <c r="H417" t="s">
        <v>411</v>
      </c>
      <c r="I417" t="s">
        <v>412</v>
      </c>
      <c r="L417" t="s">
        <v>413</v>
      </c>
      <c r="N417">
        <v>2022</v>
      </c>
      <c r="O417" s="1">
        <v>45783.293368055558</v>
      </c>
      <c r="P417" s="1">
        <v>45783.293368055558</v>
      </c>
      <c r="Q417" s="1">
        <v>45783.293368055558</v>
      </c>
      <c r="R417" t="s">
        <v>414</v>
      </c>
      <c r="U417">
        <v>319</v>
      </c>
      <c r="AC417" t="s">
        <v>262</v>
      </c>
      <c r="AD417" t="s">
        <v>96</v>
      </c>
      <c r="AE417" t="s">
        <v>97</v>
      </c>
      <c r="AJ417" t="s">
        <v>98</v>
      </c>
      <c r="AL417" t="s">
        <v>415</v>
      </c>
      <c r="AR417" t="s">
        <v>416</v>
      </c>
    </row>
    <row r="418" spans="1:74" x14ac:dyDescent="0.2">
      <c r="A418" t="s">
        <v>6684</v>
      </c>
      <c r="B418" t="s">
        <v>6657</v>
      </c>
      <c r="C418" t="s">
        <v>1865</v>
      </c>
      <c r="D418" t="s">
        <v>477</v>
      </c>
      <c r="E418">
        <v>2020</v>
      </c>
      <c r="F418" t="s">
        <v>1866</v>
      </c>
      <c r="G418" s="6" t="s">
        <v>1867</v>
      </c>
      <c r="H418" t="s">
        <v>1868</v>
      </c>
      <c r="I418" t="s">
        <v>1869</v>
      </c>
      <c r="K418" t="s">
        <v>1870</v>
      </c>
      <c r="L418" t="s">
        <v>1871</v>
      </c>
      <c r="M418" t="s">
        <v>1872</v>
      </c>
      <c r="N418">
        <v>2020</v>
      </c>
      <c r="O418" s="1">
        <v>45783.300162037034</v>
      </c>
      <c r="P418" s="1">
        <v>45783.300162037034</v>
      </c>
      <c r="R418" t="s">
        <v>1873</v>
      </c>
      <c r="AC418" t="s">
        <v>681</v>
      </c>
      <c r="AE418" t="s">
        <v>645</v>
      </c>
      <c r="AH418" t="s">
        <v>646</v>
      </c>
      <c r="AL418" t="s">
        <v>1874</v>
      </c>
      <c r="AP418" t="s">
        <v>1875</v>
      </c>
      <c r="BV418" t="s">
        <v>1876</v>
      </c>
    </row>
    <row r="419" spans="1:74" x14ac:dyDescent="0.2">
      <c r="A419" t="s">
        <v>7034</v>
      </c>
      <c r="B419" t="s">
        <v>7054</v>
      </c>
      <c r="C419" t="s">
        <v>3244</v>
      </c>
      <c r="D419" t="s">
        <v>477</v>
      </c>
      <c r="E419">
        <v>2024</v>
      </c>
      <c r="F419" t="s">
        <v>3245</v>
      </c>
      <c r="G419" s="6" t="s">
        <v>3246</v>
      </c>
      <c r="H419" t="s">
        <v>3247</v>
      </c>
      <c r="I419" t="s">
        <v>3248</v>
      </c>
      <c r="K419" t="s">
        <v>3249</v>
      </c>
      <c r="L419" t="s">
        <v>3250</v>
      </c>
      <c r="M419" t="s">
        <v>3251</v>
      </c>
      <c r="N419">
        <v>2024</v>
      </c>
      <c r="O419" s="1">
        <v>45783.292986111112</v>
      </c>
      <c r="P419" s="1">
        <v>45784.352083333331</v>
      </c>
      <c r="R419" t="s">
        <v>3252</v>
      </c>
      <c r="U419">
        <v>14825</v>
      </c>
      <c r="AC419" t="s">
        <v>3194</v>
      </c>
      <c r="AD419" t="s">
        <v>589</v>
      </c>
      <c r="AL419" t="s">
        <v>3253</v>
      </c>
      <c r="AP419" t="s">
        <v>3254</v>
      </c>
    </row>
    <row r="420" spans="1:74" x14ac:dyDescent="0.2">
      <c r="A420" t="s">
        <v>7034</v>
      </c>
      <c r="B420" t="s">
        <v>7047</v>
      </c>
      <c r="C420" t="s">
        <v>5448</v>
      </c>
      <c r="D420" t="s">
        <v>477</v>
      </c>
      <c r="E420">
        <v>2022</v>
      </c>
      <c r="F420" t="s">
        <v>5449</v>
      </c>
      <c r="G420" s="6" t="s">
        <v>5450</v>
      </c>
      <c r="H420" t="s">
        <v>5451</v>
      </c>
      <c r="I420" t="s">
        <v>5452</v>
      </c>
      <c r="K420" t="s">
        <v>5453</v>
      </c>
      <c r="L420" t="s">
        <v>5454</v>
      </c>
      <c r="N420" t="s">
        <v>5455</v>
      </c>
      <c r="O420" s="1">
        <v>45783.311423611114</v>
      </c>
      <c r="P420" s="1">
        <v>45783.311423611114</v>
      </c>
      <c r="Q420" s="1">
        <v>45783.311423611114</v>
      </c>
      <c r="R420" t="s">
        <v>5456</v>
      </c>
      <c r="X420" t="s">
        <v>5457</v>
      </c>
      <c r="AC420" t="s">
        <v>5107</v>
      </c>
      <c r="AD420" t="s">
        <v>5458</v>
      </c>
      <c r="AF420" t="s">
        <v>5109</v>
      </c>
      <c r="AJ420" t="s">
        <v>98</v>
      </c>
      <c r="BV420" t="s">
        <v>5451</v>
      </c>
    </row>
    <row r="421" spans="1:74" x14ac:dyDescent="0.2">
      <c r="A421" t="s">
        <v>6684</v>
      </c>
      <c r="B421" t="s">
        <v>7035</v>
      </c>
      <c r="C421" t="s">
        <v>5288</v>
      </c>
      <c r="D421" t="s">
        <v>477</v>
      </c>
      <c r="E421">
        <v>2013</v>
      </c>
      <c r="F421" t="s">
        <v>5289</v>
      </c>
      <c r="G421" s="6" t="s">
        <v>5290</v>
      </c>
      <c r="H421" t="s">
        <v>5291</v>
      </c>
      <c r="I421" t="s">
        <v>5292</v>
      </c>
      <c r="K421" t="s">
        <v>5293</v>
      </c>
      <c r="L421" t="s">
        <v>5294</v>
      </c>
      <c r="N421">
        <v>2013</v>
      </c>
      <c r="O421" s="1">
        <v>45783.30636574074</v>
      </c>
      <c r="P421" s="1">
        <v>45783.381909722222</v>
      </c>
      <c r="Q421" s="1">
        <v>45783.311273148145</v>
      </c>
      <c r="X421" t="s">
        <v>5295</v>
      </c>
      <c r="AC421" t="s">
        <v>5107</v>
      </c>
      <c r="AD421" t="s">
        <v>5296</v>
      </c>
      <c r="AE421" t="s">
        <v>97</v>
      </c>
      <c r="AJ421" t="s">
        <v>98</v>
      </c>
      <c r="AN421" t="s">
        <v>5297</v>
      </c>
      <c r="AP421" t="s">
        <v>5298</v>
      </c>
      <c r="BV421" t="s">
        <v>5299</v>
      </c>
    </row>
    <row r="422" spans="1:74" x14ac:dyDescent="0.2">
      <c r="A422" t="s">
        <v>7034</v>
      </c>
      <c r="B422" t="s">
        <v>7054</v>
      </c>
      <c r="C422" t="s">
        <v>3482</v>
      </c>
      <c r="D422" t="s">
        <v>477</v>
      </c>
      <c r="E422">
        <v>2022</v>
      </c>
      <c r="F422" t="s">
        <v>3483</v>
      </c>
      <c r="G422" s="6" t="s">
        <v>3484</v>
      </c>
      <c r="H422" t="s">
        <v>3485</v>
      </c>
      <c r="I422" t="s">
        <v>3486</v>
      </c>
      <c r="K422" t="s">
        <v>3487</v>
      </c>
      <c r="L422" t="s">
        <v>3488</v>
      </c>
      <c r="M422" t="s">
        <v>3489</v>
      </c>
      <c r="N422">
        <v>2022</v>
      </c>
      <c r="O422" s="1">
        <v>45783.293194444443</v>
      </c>
      <c r="P422" s="1">
        <v>45784.352187500001</v>
      </c>
      <c r="R422" t="s">
        <v>3490</v>
      </c>
      <c r="U422">
        <v>13317</v>
      </c>
      <c r="AC422" t="s">
        <v>3194</v>
      </c>
      <c r="AD422" t="s">
        <v>589</v>
      </c>
      <c r="AP422" t="s">
        <v>3491</v>
      </c>
    </row>
    <row r="423" spans="1:74" x14ac:dyDescent="0.2">
      <c r="A423" t="s">
        <v>6684</v>
      </c>
      <c r="B423" t="s">
        <v>7035</v>
      </c>
      <c r="C423" t="s">
        <v>4573</v>
      </c>
      <c r="D423" t="s">
        <v>477</v>
      </c>
      <c r="E423">
        <v>2019</v>
      </c>
      <c r="F423" t="s">
        <v>4574</v>
      </c>
      <c r="G423" s="6" t="s">
        <v>4575</v>
      </c>
      <c r="H423" t="s">
        <v>3653</v>
      </c>
      <c r="I423" t="s">
        <v>3654</v>
      </c>
      <c r="K423" t="s">
        <v>4576</v>
      </c>
      <c r="L423" t="s">
        <v>4577</v>
      </c>
      <c r="M423" t="s">
        <v>4578</v>
      </c>
      <c r="N423">
        <v>2019</v>
      </c>
      <c r="O423" s="1">
        <v>45783.306377314817</v>
      </c>
      <c r="P423" s="1">
        <v>45783.306377314817</v>
      </c>
      <c r="Y423" t="s">
        <v>3658</v>
      </c>
      <c r="AC423" t="s">
        <v>1167</v>
      </c>
      <c r="AD423" t="s">
        <v>3218</v>
      </c>
      <c r="AL423" t="s">
        <v>3659</v>
      </c>
      <c r="AP423" t="s">
        <v>4579</v>
      </c>
    </row>
    <row r="424" spans="1:74" x14ac:dyDescent="0.2">
      <c r="A424" t="s">
        <v>6684</v>
      </c>
      <c r="B424" t="s">
        <v>7044</v>
      </c>
      <c r="C424" t="s">
        <v>5827</v>
      </c>
      <c r="D424" t="s">
        <v>477</v>
      </c>
      <c r="E424">
        <v>2024</v>
      </c>
      <c r="F424" t="s">
        <v>5828</v>
      </c>
      <c r="G424" s="6" t="s">
        <v>5829</v>
      </c>
      <c r="H424" t="s">
        <v>5830</v>
      </c>
      <c r="I424" t="s">
        <v>5831</v>
      </c>
      <c r="K424" t="s">
        <v>5832</v>
      </c>
      <c r="L424" t="s">
        <v>5833</v>
      </c>
      <c r="N424" s="2">
        <v>45603</v>
      </c>
      <c r="O424" s="1">
        <v>45783.311967592592</v>
      </c>
      <c r="P424" s="1">
        <v>45783.311967592592</v>
      </c>
      <c r="Q424" s="1">
        <v>45783.311967592592</v>
      </c>
      <c r="R424" s="3">
        <v>45778</v>
      </c>
      <c r="AC424" t="s">
        <v>5107</v>
      </c>
      <c r="AD424" t="s">
        <v>5834</v>
      </c>
      <c r="AF424" t="s">
        <v>5109</v>
      </c>
      <c r="AJ424" t="s">
        <v>98</v>
      </c>
      <c r="BV424" t="s">
        <v>5830</v>
      </c>
    </row>
    <row r="425" spans="1:74" x14ac:dyDescent="0.2">
      <c r="A425" t="s">
        <v>6684</v>
      </c>
      <c r="B425" t="s">
        <v>6657</v>
      </c>
      <c r="C425" t="s">
        <v>1759</v>
      </c>
      <c r="D425" t="s">
        <v>477</v>
      </c>
      <c r="E425">
        <v>2021</v>
      </c>
      <c r="F425" t="s">
        <v>1760</v>
      </c>
      <c r="G425" s="6" t="s">
        <v>1761</v>
      </c>
      <c r="H425" t="s">
        <v>780</v>
      </c>
      <c r="I425" t="s">
        <v>1762</v>
      </c>
      <c r="K425" t="s">
        <v>1763</v>
      </c>
      <c r="L425" t="s">
        <v>1764</v>
      </c>
      <c r="M425" t="s">
        <v>1765</v>
      </c>
      <c r="N425">
        <v>2021</v>
      </c>
      <c r="O425" s="1">
        <v>45783.300162037034</v>
      </c>
      <c r="P425" s="1">
        <v>45783.300162037034</v>
      </c>
      <c r="R425" s="4">
        <v>43435</v>
      </c>
      <c r="U425">
        <v>269</v>
      </c>
      <c r="AC425" t="s">
        <v>787</v>
      </c>
      <c r="AE425" t="s">
        <v>645</v>
      </c>
      <c r="AH425" t="s">
        <v>646</v>
      </c>
      <c r="AL425" t="s">
        <v>788</v>
      </c>
      <c r="AP425" t="s">
        <v>1766</v>
      </c>
      <c r="AR425" t="s">
        <v>1767</v>
      </c>
      <c r="BV425" t="s">
        <v>791</v>
      </c>
    </row>
    <row r="426" spans="1:74" x14ac:dyDescent="0.2">
      <c r="A426" t="s">
        <v>6684</v>
      </c>
      <c r="B426" t="s">
        <v>7036</v>
      </c>
      <c r="C426" t="s">
        <v>3692</v>
      </c>
      <c r="D426" t="s">
        <v>477</v>
      </c>
      <c r="E426">
        <v>2019</v>
      </c>
      <c r="F426" t="s">
        <v>3693</v>
      </c>
      <c r="G426" s="6" t="s">
        <v>3694</v>
      </c>
      <c r="H426" t="s">
        <v>3695</v>
      </c>
      <c r="I426" t="s">
        <v>3696</v>
      </c>
      <c r="K426" t="s">
        <v>3697</v>
      </c>
      <c r="L426" t="s">
        <v>3698</v>
      </c>
      <c r="M426" t="s">
        <v>3699</v>
      </c>
      <c r="N426">
        <v>2019</v>
      </c>
      <c r="O426" s="1">
        <v>45783.30636574074</v>
      </c>
      <c r="P426" s="1">
        <v>45783.30636574074</v>
      </c>
      <c r="R426" t="s">
        <v>3700</v>
      </c>
      <c r="Y426" t="s">
        <v>3701</v>
      </c>
      <c r="AC426" t="s">
        <v>1167</v>
      </c>
      <c r="AD426" t="s">
        <v>3218</v>
      </c>
      <c r="AL426" t="s">
        <v>3702</v>
      </c>
      <c r="AP426" t="s">
        <v>3703</v>
      </c>
    </row>
    <row r="427" spans="1:74" x14ac:dyDescent="0.2">
      <c r="A427" t="s">
        <v>7034</v>
      </c>
      <c r="B427" t="s">
        <v>7047</v>
      </c>
      <c r="C427" t="s">
        <v>5162</v>
      </c>
      <c r="D427" t="s">
        <v>477</v>
      </c>
      <c r="E427">
        <v>2021</v>
      </c>
      <c r="F427" t="s">
        <v>5163</v>
      </c>
      <c r="G427" s="6" t="s">
        <v>5164</v>
      </c>
      <c r="H427" t="s">
        <v>5165</v>
      </c>
      <c r="I427" t="s">
        <v>5166</v>
      </c>
      <c r="K427" t="s">
        <v>5167</v>
      </c>
      <c r="L427" t="s">
        <v>5168</v>
      </c>
      <c r="N427" s="2">
        <v>44336</v>
      </c>
      <c r="O427" s="1">
        <v>45783.311145833337</v>
      </c>
      <c r="P427" s="1">
        <v>45783.311145833337</v>
      </c>
      <c r="Q427" s="1">
        <v>45783.311145833337</v>
      </c>
      <c r="R427" t="s">
        <v>5169</v>
      </c>
      <c r="X427" t="s">
        <v>5170</v>
      </c>
      <c r="AC427" t="s">
        <v>5107</v>
      </c>
      <c r="AD427" t="s">
        <v>5171</v>
      </c>
      <c r="AF427" t="s">
        <v>5140</v>
      </c>
      <c r="AJ427" t="s">
        <v>98</v>
      </c>
      <c r="BV427" t="s">
        <v>5165</v>
      </c>
    </row>
    <row r="428" spans="1:74" x14ac:dyDescent="0.2">
      <c r="A428" t="s">
        <v>6684</v>
      </c>
      <c r="B428" t="s">
        <v>7035</v>
      </c>
      <c r="C428" t="s">
        <v>381</v>
      </c>
      <c r="D428" t="s">
        <v>88</v>
      </c>
      <c r="E428">
        <v>2022</v>
      </c>
      <c r="F428" t="s">
        <v>382</v>
      </c>
      <c r="G428" s="6" t="s">
        <v>383</v>
      </c>
      <c r="H428" t="s">
        <v>384</v>
      </c>
      <c r="I428" t="s">
        <v>385</v>
      </c>
      <c r="L428" t="s">
        <v>386</v>
      </c>
      <c r="N428">
        <v>2022</v>
      </c>
      <c r="O428" s="1">
        <v>45783.293333333335</v>
      </c>
      <c r="P428" s="1">
        <v>45783.293333333335</v>
      </c>
      <c r="Q428" s="1">
        <v>45783.293333333335</v>
      </c>
      <c r="R428" t="s">
        <v>387</v>
      </c>
      <c r="U428">
        <v>1580</v>
      </c>
      <c r="AC428" t="s">
        <v>262</v>
      </c>
      <c r="AD428" t="s">
        <v>96</v>
      </c>
      <c r="AE428" t="s">
        <v>97</v>
      </c>
      <c r="AJ428" t="s">
        <v>98</v>
      </c>
      <c r="AL428" t="s">
        <v>388</v>
      </c>
      <c r="AR428" t="s">
        <v>389</v>
      </c>
    </row>
    <row r="429" spans="1:74" x14ac:dyDescent="0.2">
      <c r="A429" t="s">
        <v>6684</v>
      </c>
      <c r="B429" t="s">
        <v>7055</v>
      </c>
      <c r="C429" t="s">
        <v>2558</v>
      </c>
      <c r="D429" t="s">
        <v>477</v>
      </c>
      <c r="E429">
        <v>2017</v>
      </c>
      <c r="F429" t="s">
        <v>2559</v>
      </c>
      <c r="G429" s="6" t="s">
        <v>2560</v>
      </c>
      <c r="H429" t="s">
        <v>1185</v>
      </c>
      <c r="I429" t="s">
        <v>2561</v>
      </c>
      <c r="K429" t="s">
        <v>2562</v>
      </c>
      <c r="L429" t="s">
        <v>2563</v>
      </c>
      <c r="M429" t="s">
        <v>2564</v>
      </c>
      <c r="N429">
        <v>2017</v>
      </c>
      <c r="O429" s="1">
        <v>45783.300162037034</v>
      </c>
      <c r="P429" s="1">
        <v>45783.300162037034</v>
      </c>
      <c r="R429" t="s">
        <v>2565</v>
      </c>
      <c r="U429" t="s">
        <v>2566</v>
      </c>
      <c r="AC429" t="s">
        <v>2306</v>
      </c>
      <c r="AE429" t="s">
        <v>645</v>
      </c>
      <c r="AH429" t="s">
        <v>646</v>
      </c>
      <c r="AL429" t="s">
        <v>1191</v>
      </c>
      <c r="AP429" t="s">
        <v>2567</v>
      </c>
      <c r="AR429" t="s">
        <v>2568</v>
      </c>
      <c r="BV429" t="s">
        <v>1194</v>
      </c>
    </row>
    <row r="430" spans="1:74" x14ac:dyDescent="0.2">
      <c r="A430" t="s">
        <v>6684</v>
      </c>
      <c r="B430" t="s">
        <v>6657</v>
      </c>
      <c r="C430" t="s">
        <v>4913</v>
      </c>
      <c r="D430" t="s">
        <v>477</v>
      </c>
      <c r="E430">
        <v>2014</v>
      </c>
      <c r="F430" t="s">
        <v>4914</v>
      </c>
      <c r="G430" s="6" t="s">
        <v>4915</v>
      </c>
      <c r="H430" t="s">
        <v>4916</v>
      </c>
      <c r="I430" t="s">
        <v>4917</v>
      </c>
      <c r="K430" t="s">
        <v>4918</v>
      </c>
      <c r="L430" t="s">
        <v>4919</v>
      </c>
      <c r="M430" t="s">
        <v>4920</v>
      </c>
      <c r="N430">
        <v>2014</v>
      </c>
      <c r="O430" s="1">
        <v>45783.306377314817</v>
      </c>
      <c r="P430" s="1">
        <v>45783.306377314817</v>
      </c>
      <c r="Y430" t="s">
        <v>4921</v>
      </c>
      <c r="AC430" t="s">
        <v>1167</v>
      </c>
      <c r="AD430" t="s">
        <v>3218</v>
      </c>
      <c r="AL430" t="s">
        <v>4922</v>
      </c>
      <c r="AP430" t="s">
        <v>4923</v>
      </c>
    </row>
    <row r="431" spans="1:74" x14ac:dyDescent="0.2">
      <c r="A431" t="s">
        <v>6684</v>
      </c>
      <c r="B431" t="s">
        <v>6657</v>
      </c>
      <c r="C431" t="s">
        <v>4924</v>
      </c>
      <c r="D431" t="s">
        <v>477</v>
      </c>
      <c r="E431">
        <v>2014</v>
      </c>
      <c r="F431" t="s">
        <v>4925</v>
      </c>
      <c r="G431" s="6" t="s">
        <v>4926</v>
      </c>
      <c r="H431" t="s">
        <v>4927</v>
      </c>
      <c r="I431" t="s">
        <v>4928</v>
      </c>
      <c r="K431" t="s">
        <v>4929</v>
      </c>
      <c r="L431" t="s">
        <v>4930</v>
      </c>
      <c r="M431" t="s">
        <v>4931</v>
      </c>
      <c r="N431">
        <v>2014</v>
      </c>
      <c r="O431" s="1">
        <v>45783.306388888886</v>
      </c>
      <c r="P431" s="1">
        <v>45783.306388888886</v>
      </c>
      <c r="R431" t="s">
        <v>4932</v>
      </c>
      <c r="AC431" t="s">
        <v>3194</v>
      </c>
      <c r="AD431" t="s">
        <v>589</v>
      </c>
      <c r="AP431" t="s">
        <v>4933</v>
      </c>
    </row>
    <row r="432" spans="1:74" x14ac:dyDescent="0.2">
      <c r="A432" t="s">
        <v>6684</v>
      </c>
      <c r="B432" t="s">
        <v>6657</v>
      </c>
      <c r="C432" t="s">
        <v>4872</v>
      </c>
      <c r="D432" t="s">
        <v>477</v>
      </c>
      <c r="E432">
        <v>2007</v>
      </c>
      <c r="F432" t="s">
        <v>4873</v>
      </c>
      <c r="G432" s="6" t="s">
        <v>4874</v>
      </c>
      <c r="H432" t="s">
        <v>4875</v>
      </c>
      <c r="I432" t="s">
        <v>4876</v>
      </c>
      <c r="M432" t="s">
        <v>4877</v>
      </c>
      <c r="N432">
        <v>2007</v>
      </c>
      <c r="O432" s="1">
        <v>45783.306377314817</v>
      </c>
      <c r="P432" s="1">
        <v>45783.306377314817</v>
      </c>
      <c r="R432" t="s">
        <v>4878</v>
      </c>
      <c r="Y432" t="s">
        <v>4879</v>
      </c>
      <c r="AC432" t="s">
        <v>3194</v>
      </c>
      <c r="AD432" t="s">
        <v>589</v>
      </c>
      <c r="AL432" t="s">
        <v>4880</v>
      </c>
      <c r="AP432" t="s">
        <v>4881</v>
      </c>
    </row>
    <row r="433" spans="1:74" x14ac:dyDescent="0.2">
      <c r="A433" t="s">
        <v>6684</v>
      </c>
      <c r="B433" t="s">
        <v>7035</v>
      </c>
      <c r="C433" t="s">
        <v>244</v>
      </c>
      <c r="D433" t="s">
        <v>88</v>
      </c>
      <c r="E433">
        <v>2023</v>
      </c>
      <c r="F433" t="s">
        <v>245</v>
      </c>
      <c r="G433" s="6" t="s">
        <v>246</v>
      </c>
      <c r="H433" t="s">
        <v>247</v>
      </c>
      <c r="I433" t="s">
        <v>248</v>
      </c>
      <c r="L433" t="s">
        <v>249</v>
      </c>
      <c r="N433">
        <v>2023</v>
      </c>
      <c r="O433" s="1">
        <v>45783.29315972222</v>
      </c>
      <c r="P433" s="1">
        <v>45783.29315972222</v>
      </c>
      <c r="Q433" s="1">
        <v>45783.29315972222</v>
      </c>
      <c r="R433" t="s">
        <v>250</v>
      </c>
      <c r="U433">
        <v>619</v>
      </c>
      <c r="X433" t="s">
        <v>251</v>
      </c>
      <c r="AC433" t="s">
        <v>95</v>
      </c>
      <c r="AD433" t="s">
        <v>96</v>
      </c>
      <c r="AE433" t="s">
        <v>97</v>
      </c>
      <c r="AJ433" t="s">
        <v>98</v>
      </c>
      <c r="AL433" t="s">
        <v>252</v>
      </c>
      <c r="AR433" t="s">
        <v>253</v>
      </c>
    </row>
    <row r="434" spans="1:74" x14ac:dyDescent="0.2">
      <c r="A434" t="s">
        <v>6684</v>
      </c>
      <c r="B434" t="s">
        <v>7044</v>
      </c>
      <c r="C434" t="s">
        <v>5931</v>
      </c>
      <c r="D434" t="s">
        <v>477</v>
      </c>
      <c r="E434">
        <v>2019</v>
      </c>
      <c r="F434" t="s">
        <v>5932</v>
      </c>
      <c r="G434" s="6" t="s">
        <v>5933</v>
      </c>
      <c r="H434" t="s">
        <v>5934</v>
      </c>
      <c r="I434" t="s">
        <v>5935</v>
      </c>
      <c r="K434" t="s">
        <v>5936</v>
      </c>
      <c r="L434" t="s">
        <v>5937</v>
      </c>
      <c r="N434" t="s">
        <v>4361</v>
      </c>
      <c r="O434" s="1">
        <v>45783.312083333331</v>
      </c>
      <c r="P434" s="1">
        <v>45783.312083333331</v>
      </c>
      <c r="Q434" s="1">
        <v>45783.312083333331</v>
      </c>
      <c r="R434" t="s">
        <v>5938</v>
      </c>
      <c r="X434" t="s">
        <v>5939</v>
      </c>
      <c r="AC434" t="s">
        <v>5107</v>
      </c>
      <c r="AD434" t="s">
        <v>5940</v>
      </c>
      <c r="AF434" t="s">
        <v>5109</v>
      </c>
      <c r="AJ434" t="s">
        <v>98</v>
      </c>
      <c r="BV434" t="s">
        <v>5934</v>
      </c>
    </row>
    <row r="435" spans="1:74" x14ac:dyDescent="0.2">
      <c r="A435" t="s">
        <v>7034</v>
      </c>
      <c r="B435" t="s">
        <v>7048</v>
      </c>
      <c r="C435" t="s">
        <v>2666</v>
      </c>
      <c r="D435" t="s">
        <v>477</v>
      </c>
      <c r="E435">
        <v>2019</v>
      </c>
      <c r="F435" t="s">
        <v>2667</v>
      </c>
      <c r="G435" s="6" t="s">
        <v>2668</v>
      </c>
      <c r="H435" t="s">
        <v>2669</v>
      </c>
      <c r="I435" t="s">
        <v>2670</v>
      </c>
      <c r="L435" t="s">
        <v>2671</v>
      </c>
      <c r="M435" t="s">
        <v>2672</v>
      </c>
      <c r="N435">
        <v>2019</v>
      </c>
      <c r="O435" s="1">
        <v>45783.300162037034</v>
      </c>
      <c r="P435" s="1">
        <v>45783.300162037034</v>
      </c>
      <c r="R435" t="s">
        <v>2673</v>
      </c>
      <c r="U435">
        <v>1</v>
      </c>
      <c r="AC435" t="s">
        <v>2674</v>
      </c>
      <c r="AE435" t="s">
        <v>645</v>
      </c>
      <c r="AH435" t="s">
        <v>646</v>
      </c>
      <c r="AL435" t="s">
        <v>2675</v>
      </c>
      <c r="AP435" t="s">
        <v>2676</v>
      </c>
      <c r="AR435" t="s">
        <v>2677</v>
      </c>
      <c r="BV435" t="s">
        <v>2678</v>
      </c>
    </row>
    <row r="436" spans="1:74" x14ac:dyDescent="0.2">
      <c r="A436" t="s">
        <v>6684</v>
      </c>
      <c r="B436" t="s">
        <v>7035</v>
      </c>
      <c r="C436" t="s">
        <v>1171</v>
      </c>
      <c r="D436" t="s">
        <v>477</v>
      </c>
      <c r="E436">
        <v>2023</v>
      </c>
      <c r="F436" t="s">
        <v>1172</v>
      </c>
      <c r="G436" s="6" t="s">
        <v>1173</v>
      </c>
      <c r="H436" t="s">
        <v>1043</v>
      </c>
      <c r="I436" t="s">
        <v>1174</v>
      </c>
      <c r="K436" t="s">
        <v>1175</v>
      </c>
      <c r="L436" t="s">
        <v>1176</v>
      </c>
      <c r="M436" t="s">
        <v>1177</v>
      </c>
      <c r="N436">
        <v>2023</v>
      </c>
      <c r="O436" s="1">
        <v>45783.300150462965</v>
      </c>
      <c r="P436" s="1">
        <v>45783.300150462965</v>
      </c>
      <c r="R436" t="s">
        <v>1178</v>
      </c>
      <c r="U436" t="s">
        <v>1179</v>
      </c>
      <c r="AC436" t="s">
        <v>787</v>
      </c>
      <c r="AE436" t="s">
        <v>645</v>
      </c>
      <c r="AH436" t="s">
        <v>646</v>
      </c>
      <c r="AL436" t="s">
        <v>1050</v>
      </c>
      <c r="AP436" t="s">
        <v>1180</v>
      </c>
      <c r="AR436" t="s">
        <v>1181</v>
      </c>
      <c r="BV436" t="s">
        <v>1053</v>
      </c>
    </row>
    <row r="437" spans="1:74" x14ac:dyDescent="0.2">
      <c r="A437" t="s">
        <v>7034</v>
      </c>
      <c r="B437" t="s">
        <v>7048</v>
      </c>
      <c r="C437" t="s">
        <v>6296</v>
      </c>
      <c r="D437" t="s">
        <v>102</v>
      </c>
      <c r="E437">
        <v>2024</v>
      </c>
      <c r="F437" t="s">
        <v>6297</v>
      </c>
      <c r="G437" s="6" t="s">
        <v>6298</v>
      </c>
      <c r="H437" t="s">
        <v>1376</v>
      </c>
      <c r="J437" t="s">
        <v>6105</v>
      </c>
      <c r="K437" t="s">
        <v>6299</v>
      </c>
      <c r="L437" t="s">
        <v>6300</v>
      </c>
      <c r="N437" t="s">
        <v>6301</v>
      </c>
      <c r="O437" s="1">
        <v>45783.313437500001</v>
      </c>
      <c r="P437" s="1">
        <v>45783.313437500001</v>
      </c>
      <c r="Q437" s="1">
        <v>45783.313437500001</v>
      </c>
      <c r="R437" t="s">
        <v>6302</v>
      </c>
      <c r="T437">
        <v>5</v>
      </c>
      <c r="U437">
        <v>30</v>
      </c>
      <c r="W437" t="s">
        <v>3713</v>
      </c>
      <c r="AF437" t="s">
        <v>5140</v>
      </c>
      <c r="AJ437" t="s">
        <v>98</v>
      </c>
    </row>
    <row r="438" spans="1:74" x14ac:dyDescent="0.2">
      <c r="A438" t="s">
        <v>6684</v>
      </c>
      <c r="B438" t="s">
        <v>7035</v>
      </c>
      <c r="C438" t="s">
        <v>130</v>
      </c>
      <c r="D438" t="s">
        <v>102</v>
      </c>
      <c r="E438">
        <v>2025</v>
      </c>
      <c r="F438" t="s">
        <v>131</v>
      </c>
      <c r="G438" s="6" t="s">
        <v>132</v>
      </c>
      <c r="H438" t="s">
        <v>133</v>
      </c>
      <c r="J438" t="s">
        <v>134</v>
      </c>
      <c r="K438" t="s">
        <v>135</v>
      </c>
      <c r="L438" t="s">
        <v>136</v>
      </c>
      <c r="M438" t="s">
        <v>137</v>
      </c>
      <c r="N438" s="2">
        <v>45692</v>
      </c>
      <c r="O438" s="1">
        <v>45783.292962962965</v>
      </c>
      <c r="P438" s="1">
        <v>45783.292962962965</v>
      </c>
      <c r="Q438" s="1">
        <v>45783.292962962965</v>
      </c>
      <c r="R438">
        <v>21</v>
      </c>
      <c r="T438">
        <v>1</v>
      </c>
      <c r="U438">
        <v>22</v>
      </c>
      <c r="W438" t="s">
        <v>138</v>
      </c>
      <c r="X438" t="s">
        <v>139</v>
      </c>
      <c r="AE438" t="s">
        <v>97</v>
      </c>
      <c r="AJ438" t="s">
        <v>98</v>
      </c>
      <c r="AN438" t="s">
        <v>140</v>
      </c>
    </row>
    <row r="439" spans="1:74" x14ac:dyDescent="0.2">
      <c r="A439" t="s">
        <v>7034</v>
      </c>
      <c r="B439" t="s">
        <v>6670</v>
      </c>
      <c r="C439" t="s">
        <v>2285</v>
      </c>
      <c r="D439" t="s">
        <v>477</v>
      </c>
      <c r="E439">
        <v>2018</v>
      </c>
      <c r="F439" t="s">
        <v>2286</v>
      </c>
      <c r="G439" s="6" t="s">
        <v>2287</v>
      </c>
      <c r="H439" t="s">
        <v>2288</v>
      </c>
      <c r="I439" t="s">
        <v>2289</v>
      </c>
      <c r="K439" t="s">
        <v>2290</v>
      </c>
      <c r="L439" t="s">
        <v>2291</v>
      </c>
      <c r="M439" t="s">
        <v>2292</v>
      </c>
      <c r="N439">
        <v>2018</v>
      </c>
      <c r="O439" s="1">
        <v>45783.300162037034</v>
      </c>
      <c r="P439" s="1">
        <v>45783.300162037034</v>
      </c>
      <c r="R439" t="s">
        <v>2293</v>
      </c>
      <c r="AC439" t="s">
        <v>801</v>
      </c>
      <c r="AE439" t="s">
        <v>645</v>
      </c>
      <c r="AH439" t="s">
        <v>646</v>
      </c>
      <c r="AL439" t="s">
        <v>2294</v>
      </c>
      <c r="AP439" t="s">
        <v>2295</v>
      </c>
      <c r="BV439" t="s">
        <v>2296</v>
      </c>
    </row>
    <row r="440" spans="1:74" x14ac:dyDescent="0.2">
      <c r="A440" t="s">
        <v>6684</v>
      </c>
      <c r="B440" t="s">
        <v>7035</v>
      </c>
      <c r="C440" t="s">
        <v>1518</v>
      </c>
      <c r="D440" t="s">
        <v>102</v>
      </c>
      <c r="E440">
        <v>2021</v>
      </c>
      <c r="F440" t="s">
        <v>1519</v>
      </c>
      <c r="G440" s="6" t="s">
        <v>1520</v>
      </c>
      <c r="H440" t="s">
        <v>820</v>
      </c>
      <c r="J440" t="s">
        <v>821</v>
      </c>
      <c r="K440" t="s">
        <v>1521</v>
      </c>
      <c r="L440" t="s">
        <v>1522</v>
      </c>
      <c r="M440" t="s">
        <v>1523</v>
      </c>
      <c r="N440">
        <v>2021</v>
      </c>
      <c r="O440" s="1">
        <v>45783.300150462965</v>
      </c>
      <c r="P440" s="1">
        <v>45783.300150462965</v>
      </c>
      <c r="T440">
        <v>24</v>
      </c>
      <c r="U440">
        <v>11</v>
      </c>
      <c r="W440" t="s">
        <v>825</v>
      </c>
      <c r="AE440" t="s">
        <v>645</v>
      </c>
      <c r="AH440" t="s">
        <v>646</v>
      </c>
      <c r="AL440" t="s">
        <v>1524</v>
      </c>
      <c r="AP440" t="s">
        <v>1525</v>
      </c>
    </row>
    <row r="441" spans="1:74" x14ac:dyDescent="0.2">
      <c r="A441" t="s">
        <v>6684</v>
      </c>
      <c r="B441" t="s">
        <v>7035</v>
      </c>
      <c r="C441" t="s">
        <v>617</v>
      </c>
      <c r="D441" t="s">
        <v>88</v>
      </c>
      <c r="E441">
        <v>2009</v>
      </c>
      <c r="F441" t="s">
        <v>618</v>
      </c>
      <c r="G441" s="6" t="s">
        <v>619</v>
      </c>
      <c r="H441" t="s">
        <v>620</v>
      </c>
      <c r="I441" t="s">
        <v>621</v>
      </c>
      <c r="L441" t="s">
        <v>622</v>
      </c>
      <c r="N441">
        <v>2009</v>
      </c>
      <c r="O441" s="1">
        <v>45783.293807870374</v>
      </c>
      <c r="P441" s="1">
        <v>45783.293807870374</v>
      </c>
      <c r="Q441" s="1">
        <v>45783.293807870374</v>
      </c>
      <c r="R441" t="s">
        <v>623</v>
      </c>
      <c r="U441">
        <v>47</v>
      </c>
      <c r="X441" t="s">
        <v>624</v>
      </c>
      <c r="AC441" t="s">
        <v>588</v>
      </c>
      <c r="AD441" t="s">
        <v>589</v>
      </c>
      <c r="AJ441" t="s">
        <v>98</v>
      </c>
      <c r="AL441" t="s">
        <v>625</v>
      </c>
      <c r="AR441" t="s">
        <v>626</v>
      </c>
    </row>
    <row r="442" spans="1:74" x14ac:dyDescent="0.2">
      <c r="A442" t="s">
        <v>6684</v>
      </c>
      <c r="B442" t="s">
        <v>7035</v>
      </c>
      <c r="C442" t="s">
        <v>4682</v>
      </c>
      <c r="D442" t="s">
        <v>477</v>
      </c>
      <c r="E442">
        <v>2008</v>
      </c>
      <c r="F442" t="s">
        <v>4683</v>
      </c>
      <c r="G442" s="6" t="s">
        <v>4684</v>
      </c>
      <c r="H442" t="s">
        <v>4685</v>
      </c>
      <c r="I442" t="s">
        <v>4686</v>
      </c>
      <c r="K442" t="s">
        <v>4687</v>
      </c>
      <c r="L442" t="s">
        <v>4688</v>
      </c>
      <c r="M442" t="s">
        <v>4689</v>
      </c>
      <c r="N442">
        <v>2008</v>
      </c>
      <c r="O442" s="1">
        <v>45783.306377314817</v>
      </c>
      <c r="P442" s="1">
        <v>45783.306377314817</v>
      </c>
      <c r="R442" t="s">
        <v>4690</v>
      </c>
      <c r="Y442" t="s">
        <v>4691</v>
      </c>
      <c r="AC442" t="s">
        <v>3194</v>
      </c>
      <c r="AD442" t="s">
        <v>589</v>
      </c>
      <c r="AL442" t="s">
        <v>4692</v>
      </c>
      <c r="AP442" t="s">
        <v>4693</v>
      </c>
    </row>
    <row r="443" spans="1:74" x14ac:dyDescent="0.2">
      <c r="A443" t="s">
        <v>6684</v>
      </c>
      <c r="B443" t="s">
        <v>7036</v>
      </c>
      <c r="C443" t="s">
        <v>6073</v>
      </c>
      <c r="D443" t="s">
        <v>477</v>
      </c>
      <c r="E443">
        <v>2021</v>
      </c>
      <c r="F443" t="s">
        <v>6074</v>
      </c>
      <c r="G443" s="6" t="s">
        <v>6075</v>
      </c>
      <c r="H443" t="s">
        <v>6076</v>
      </c>
      <c r="I443" t="s">
        <v>6077</v>
      </c>
      <c r="K443" t="s">
        <v>6078</v>
      </c>
      <c r="L443" t="s">
        <v>6079</v>
      </c>
      <c r="N443" t="s">
        <v>5703</v>
      </c>
      <c r="O443" s="1">
        <v>45783.312372685185</v>
      </c>
      <c r="P443" s="1">
        <v>45783.312372685185</v>
      </c>
      <c r="Q443" s="1">
        <v>45783.312372685185</v>
      </c>
      <c r="R443" t="s">
        <v>6080</v>
      </c>
      <c r="AC443" t="s">
        <v>5107</v>
      </c>
      <c r="AD443" t="s">
        <v>5705</v>
      </c>
      <c r="AF443" t="s">
        <v>5140</v>
      </c>
      <c r="AJ443" t="s">
        <v>98</v>
      </c>
      <c r="BV443" t="s">
        <v>6076</v>
      </c>
    </row>
    <row r="444" spans="1:74" x14ac:dyDescent="0.2">
      <c r="A444" t="s">
        <v>7034</v>
      </c>
      <c r="B444" t="s">
        <v>6666</v>
      </c>
      <c r="C444" t="s">
        <v>5251</v>
      </c>
      <c r="D444" t="s">
        <v>477</v>
      </c>
      <c r="E444">
        <v>2020</v>
      </c>
      <c r="F444" t="s">
        <v>5252</v>
      </c>
      <c r="G444" s="6" t="s">
        <v>5253</v>
      </c>
      <c r="H444" t="s">
        <v>5194</v>
      </c>
      <c r="I444" t="s">
        <v>5195</v>
      </c>
      <c r="K444" t="s">
        <v>5254</v>
      </c>
      <c r="L444" t="s">
        <v>5255</v>
      </c>
      <c r="N444" t="s">
        <v>5198</v>
      </c>
      <c r="O444" s="1">
        <v>45783.311249999999</v>
      </c>
      <c r="P444" s="1">
        <v>45783.480370370373</v>
      </c>
      <c r="Q444" s="1">
        <v>45783.311249999999</v>
      </c>
      <c r="R444" t="s">
        <v>5256</v>
      </c>
      <c r="AC444" t="s">
        <v>5107</v>
      </c>
      <c r="AD444" t="s">
        <v>5200</v>
      </c>
      <c r="AF444" t="s">
        <v>5140</v>
      </c>
      <c r="AJ444" t="s">
        <v>98</v>
      </c>
      <c r="AP444" t="s">
        <v>5257</v>
      </c>
      <c r="BV444" t="s">
        <v>5194</v>
      </c>
    </row>
    <row r="445" spans="1:74" x14ac:dyDescent="0.2">
      <c r="A445" t="s">
        <v>6684</v>
      </c>
      <c r="B445" t="s">
        <v>7035</v>
      </c>
      <c r="C445" t="s">
        <v>6365</v>
      </c>
      <c r="D445" t="s">
        <v>477</v>
      </c>
      <c r="E445">
        <v>2024</v>
      </c>
      <c r="F445" t="s">
        <v>6366</v>
      </c>
      <c r="G445" s="6" t="s">
        <v>6367</v>
      </c>
      <c r="H445" t="s">
        <v>6368</v>
      </c>
      <c r="I445" t="s">
        <v>6369</v>
      </c>
      <c r="K445" t="s">
        <v>6370</v>
      </c>
      <c r="L445" t="s">
        <v>6371</v>
      </c>
      <c r="N445" s="2">
        <v>45511</v>
      </c>
      <c r="O445" s="1">
        <v>45783.31349537037</v>
      </c>
      <c r="P445" s="1">
        <v>45783.31349537037</v>
      </c>
      <c r="Q445" s="1">
        <v>45783.31349537037</v>
      </c>
      <c r="R445" s="3">
        <v>45839</v>
      </c>
      <c r="AC445" t="s">
        <v>5107</v>
      </c>
      <c r="AD445" t="s">
        <v>6372</v>
      </c>
      <c r="AF445" t="s">
        <v>5109</v>
      </c>
      <c r="AJ445" t="s">
        <v>98</v>
      </c>
      <c r="BV445" t="s">
        <v>6368</v>
      </c>
    </row>
    <row r="446" spans="1:74" x14ac:dyDescent="0.2">
      <c r="A446" t="s">
        <v>6684</v>
      </c>
      <c r="B446" t="s">
        <v>6657</v>
      </c>
      <c r="C446" t="s">
        <v>5279</v>
      </c>
      <c r="D446" t="s">
        <v>477</v>
      </c>
      <c r="E446">
        <v>2023</v>
      </c>
      <c r="F446" t="s">
        <v>5280</v>
      </c>
      <c r="G446" s="6" t="s">
        <v>5281</v>
      </c>
      <c r="H446" t="s">
        <v>5282</v>
      </c>
      <c r="I446" t="s">
        <v>5283</v>
      </c>
      <c r="K446" t="s">
        <v>5284</v>
      </c>
      <c r="L446" t="s">
        <v>5285</v>
      </c>
      <c r="N446" t="s">
        <v>5286</v>
      </c>
      <c r="O446" s="1">
        <v>45783.311261574076</v>
      </c>
      <c r="P446" s="1">
        <v>45783.311261574076</v>
      </c>
      <c r="Q446" s="1">
        <v>45783.311261574076</v>
      </c>
      <c r="R446" t="s">
        <v>5287</v>
      </c>
      <c r="AC446" t="s">
        <v>5107</v>
      </c>
      <c r="AD446" t="s">
        <v>5180</v>
      </c>
      <c r="AF446" t="s">
        <v>5109</v>
      </c>
      <c r="AJ446" t="s">
        <v>98</v>
      </c>
      <c r="BV446" t="s">
        <v>5282</v>
      </c>
    </row>
    <row r="447" spans="1:74" x14ac:dyDescent="0.2">
      <c r="A447" t="s">
        <v>6684</v>
      </c>
      <c r="B447" t="s">
        <v>6653</v>
      </c>
      <c r="C447" t="s">
        <v>4861</v>
      </c>
      <c r="D447" t="s">
        <v>102</v>
      </c>
      <c r="E447">
        <v>2020</v>
      </c>
      <c r="F447" t="s">
        <v>4862</v>
      </c>
      <c r="G447" s="6" t="s">
        <v>4863</v>
      </c>
      <c r="H447" t="s">
        <v>4864</v>
      </c>
      <c r="J447" t="s">
        <v>4865</v>
      </c>
      <c r="K447" t="s">
        <v>4866</v>
      </c>
      <c r="L447" t="s">
        <v>4867</v>
      </c>
      <c r="N447" t="s">
        <v>4868</v>
      </c>
      <c r="O447" s="1">
        <v>45783.306377314817</v>
      </c>
      <c r="P447" s="1">
        <v>45783.380798611113</v>
      </c>
      <c r="T447" t="s">
        <v>3283</v>
      </c>
      <c r="U447">
        <v>147</v>
      </c>
      <c r="W447" t="s">
        <v>4869</v>
      </c>
      <c r="AE447" t="s">
        <v>645</v>
      </c>
      <c r="AL447" t="s">
        <v>4870</v>
      </c>
      <c r="AP447" t="s">
        <v>4871</v>
      </c>
    </row>
    <row r="448" spans="1:74" x14ac:dyDescent="0.2">
      <c r="A448" t="s">
        <v>7034</v>
      </c>
      <c r="B448" t="s">
        <v>7047</v>
      </c>
      <c r="C448" t="s">
        <v>4653</v>
      </c>
      <c r="D448" t="s">
        <v>477</v>
      </c>
      <c r="E448">
        <v>2020</v>
      </c>
      <c r="F448" t="s">
        <v>4654</v>
      </c>
      <c r="G448" s="6" t="s">
        <v>4655</v>
      </c>
      <c r="H448" t="s">
        <v>4656</v>
      </c>
      <c r="I448" t="s">
        <v>4657</v>
      </c>
      <c r="K448" t="s">
        <v>4658</v>
      </c>
      <c r="L448" t="s">
        <v>4659</v>
      </c>
      <c r="M448" t="s">
        <v>4660</v>
      </c>
      <c r="N448">
        <v>2020</v>
      </c>
      <c r="O448" s="1">
        <v>45783.306377314817</v>
      </c>
      <c r="P448" s="1">
        <v>45783.306377314817</v>
      </c>
      <c r="R448" t="s">
        <v>4661</v>
      </c>
      <c r="Y448" t="s">
        <v>4662</v>
      </c>
      <c r="AC448" t="s">
        <v>1167</v>
      </c>
      <c r="AD448" t="s">
        <v>3218</v>
      </c>
      <c r="AL448" t="s">
        <v>4663</v>
      </c>
      <c r="AP448" t="s">
        <v>4664</v>
      </c>
    </row>
    <row r="449" spans="1:74" x14ac:dyDescent="0.2">
      <c r="A449" t="s">
        <v>6684</v>
      </c>
      <c r="B449" t="s">
        <v>6653</v>
      </c>
      <c r="C449" t="s">
        <v>5213</v>
      </c>
      <c r="D449" t="s">
        <v>477</v>
      </c>
      <c r="E449">
        <v>2019</v>
      </c>
      <c r="F449" t="s">
        <v>5214</v>
      </c>
      <c r="G449" s="6" t="s">
        <v>5215</v>
      </c>
      <c r="H449" t="s">
        <v>5216</v>
      </c>
      <c r="I449" t="s">
        <v>5217</v>
      </c>
      <c r="K449" t="s">
        <v>5218</v>
      </c>
      <c r="L449" t="s">
        <v>5219</v>
      </c>
      <c r="N449" t="s">
        <v>5220</v>
      </c>
      <c r="O449" s="1">
        <v>45783.311215277776</v>
      </c>
      <c r="P449" s="1">
        <v>45783.311215277776</v>
      </c>
      <c r="Q449" s="1">
        <v>45783.311215277776</v>
      </c>
      <c r="R449" t="s">
        <v>5221</v>
      </c>
      <c r="AC449" t="s">
        <v>5107</v>
      </c>
      <c r="AD449" t="s">
        <v>5222</v>
      </c>
      <c r="AF449" t="s">
        <v>5140</v>
      </c>
      <c r="AJ449" t="s">
        <v>98</v>
      </c>
      <c r="BV449" t="s">
        <v>5216</v>
      </c>
    </row>
    <row r="450" spans="1:74" x14ac:dyDescent="0.2">
      <c r="A450" t="s">
        <v>7034</v>
      </c>
      <c r="B450" t="s">
        <v>7047</v>
      </c>
      <c r="C450" t="s">
        <v>5609</v>
      </c>
      <c r="D450" t="s">
        <v>477</v>
      </c>
      <c r="E450">
        <v>2020</v>
      </c>
      <c r="F450" t="s">
        <v>5610</v>
      </c>
      <c r="G450" s="6" t="s">
        <v>5611</v>
      </c>
      <c r="H450" t="s">
        <v>5612</v>
      </c>
      <c r="I450" t="s">
        <v>5613</v>
      </c>
      <c r="K450" t="s">
        <v>5614</v>
      </c>
      <c r="L450" t="s">
        <v>5615</v>
      </c>
      <c r="N450" s="2">
        <v>44097</v>
      </c>
      <c r="O450" s="1">
        <v>45783.311655092592</v>
      </c>
      <c r="P450" s="1">
        <v>45783.311655092592</v>
      </c>
      <c r="Q450" s="1">
        <v>45783.311655092592</v>
      </c>
      <c r="R450" t="s">
        <v>5616</v>
      </c>
      <c r="AC450" t="s">
        <v>5107</v>
      </c>
      <c r="AD450" t="s">
        <v>5617</v>
      </c>
      <c r="AF450" t="s">
        <v>5140</v>
      </c>
      <c r="AJ450" t="s">
        <v>98</v>
      </c>
      <c r="BV450" t="s">
        <v>5612</v>
      </c>
    </row>
    <row r="451" spans="1:74" x14ac:dyDescent="0.2">
      <c r="A451" t="s">
        <v>6684</v>
      </c>
      <c r="B451" t="s">
        <v>7053</v>
      </c>
      <c r="C451" t="s">
        <v>5120</v>
      </c>
      <c r="D451" t="s">
        <v>477</v>
      </c>
      <c r="E451">
        <v>2011</v>
      </c>
      <c r="F451" t="s">
        <v>5121</v>
      </c>
      <c r="G451" s="6" t="s">
        <v>5122</v>
      </c>
      <c r="H451" t="s">
        <v>5123</v>
      </c>
      <c r="I451" t="s">
        <v>5124</v>
      </c>
      <c r="K451" t="s">
        <v>5125</v>
      </c>
      <c r="L451" t="s">
        <v>5126</v>
      </c>
      <c r="N451" t="s">
        <v>5127</v>
      </c>
      <c r="O451" s="1">
        <v>45783.311122685183</v>
      </c>
      <c r="P451" s="1">
        <v>45783.311122685183</v>
      </c>
      <c r="Q451" s="1">
        <v>45783.311122685183</v>
      </c>
      <c r="R451" s="3">
        <v>45778</v>
      </c>
      <c r="AC451" t="s">
        <v>5107</v>
      </c>
      <c r="AD451" t="s">
        <v>5128</v>
      </c>
      <c r="AJ451" t="s">
        <v>98</v>
      </c>
      <c r="BV451" t="s">
        <v>5129</v>
      </c>
    </row>
    <row r="452" spans="1:74" x14ac:dyDescent="0.2">
      <c r="A452" t="s">
        <v>7034</v>
      </c>
      <c r="B452" t="s">
        <v>7048</v>
      </c>
      <c r="C452" t="s">
        <v>792</v>
      </c>
      <c r="D452" t="s">
        <v>477</v>
      </c>
      <c r="E452">
        <v>2024</v>
      </c>
      <c r="F452" t="s">
        <v>793</v>
      </c>
      <c r="G452" s="6" t="s">
        <v>794</v>
      </c>
      <c r="H452" t="s">
        <v>795</v>
      </c>
      <c r="I452" t="s">
        <v>796</v>
      </c>
      <c r="K452" t="s">
        <v>797</v>
      </c>
      <c r="L452" t="s">
        <v>798</v>
      </c>
      <c r="M452" t="s">
        <v>799</v>
      </c>
      <c r="N452">
        <v>2024</v>
      </c>
      <c r="O452" s="1">
        <v>45783.300150462965</v>
      </c>
      <c r="P452" s="1">
        <v>45783.300150462965</v>
      </c>
      <c r="R452" t="s">
        <v>800</v>
      </c>
      <c r="AC452" t="s">
        <v>801</v>
      </c>
      <c r="AE452" t="s">
        <v>645</v>
      </c>
      <c r="AH452" t="s">
        <v>646</v>
      </c>
      <c r="AL452" t="s">
        <v>802</v>
      </c>
      <c r="AP452" t="s">
        <v>803</v>
      </c>
      <c r="AR452" t="s">
        <v>804</v>
      </c>
      <c r="BV452" t="s">
        <v>805</v>
      </c>
    </row>
    <row r="453" spans="1:74" x14ac:dyDescent="0.2">
      <c r="A453" t="s">
        <v>6684</v>
      </c>
      <c r="B453" t="s">
        <v>7035</v>
      </c>
      <c r="C453" t="s">
        <v>4608</v>
      </c>
      <c r="D453" t="s">
        <v>477</v>
      </c>
      <c r="E453">
        <v>2014</v>
      </c>
      <c r="F453" t="s">
        <v>4609</v>
      </c>
      <c r="G453" s="6" t="s">
        <v>4610</v>
      </c>
      <c r="H453" t="s">
        <v>4611</v>
      </c>
      <c r="I453" t="s">
        <v>4612</v>
      </c>
      <c r="K453" t="s">
        <v>4613</v>
      </c>
      <c r="L453" t="s">
        <v>4614</v>
      </c>
      <c r="M453" t="s">
        <v>4615</v>
      </c>
      <c r="N453">
        <v>2014</v>
      </c>
      <c r="O453" s="1">
        <v>45783.306377314817</v>
      </c>
      <c r="P453" s="1">
        <v>45783.306377314817</v>
      </c>
      <c r="R453" t="s">
        <v>4616</v>
      </c>
      <c r="Y453" t="s">
        <v>4617</v>
      </c>
      <c r="AC453" t="s">
        <v>1167</v>
      </c>
      <c r="AD453" t="s">
        <v>3218</v>
      </c>
      <c r="AL453" t="s">
        <v>4231</v>
      </c>
      <c r="AP453" t="s">
        <v>4618</v>
      </c>
    </row>
    <row r="454" spans="1:74" x14ac:dyDescent="0.2">
      <c r="A454" t="s">
        <v>6684</v>
      </c>
      <c r="B454" t="s">
        <v>7035</v>
      </c>
      <c r="C454" t="s">
        <v>277</v>
      </c>
      <c r="D454" t="s">
        <v>88</v>
      </c>
      <c r="E454">
        <v>2023</v>
      </c>
      <c r="F454" t="s">
        <v>278</v>
      </c>
      <c r="G454" s="6" t="s">
        <v>279</v>
      </c>
      <c r="H454" t="s">
        <v>280</v>
      </c>
      <c r="I454" t="s">
        <v>281</v>
      </c>
      <c r="L454" t="s">
        <v>282</v>
      </c>
      <c r="N454">
        <v>2023</v>
      </c>
      <c r="O454" s="1">
        <v>45783.293217592596</v>
      </c>
      <c r="P454" s="1">
        <v>45783.293217592596</v>
      </c>
      <c r="Q454" s="1">
        <v>45783.293217592596</v>
      </c>
      <c r="R454" t="s">
        <v>283</v>
      </c>
      <c r="X454" t="s">
        <v>284</v>
      </c>
      <c r="AC454" t="s">
        <v>262</v>
      </c>
      <c r="AD454" t="s">
        <v>96</v>
      </c>
      <c r="AE454" t="s">
        <v>97</v>
      </c>
      <c r="AJ454" t="s">
        <v>98</v>
      </c>
      <c r="AL454" t="s">
        <v>285</v>
      </c>
      <c r="AR454" t="s">
        <v>286</v>
      </c>
    </row>
    <row r="455" spans="1:74" x14ac:dyDescent="0.2">
      <c r="A455" t="s">
        <v>6684</v>
      </c>
      <c r="B455" t="s">
        <v>7035</v>
      </c>
      <c r="C455" t="s">
        <v>535</v>
      </c>
      <c r="D455" t="s">
        <v>88</v>
      </c>
      <c r="E455">
        <v>2017</v>
      </c>
      <c r="F455" t="s">
        <v>536</v>
      </c>
      <c r="G455" s="6" t="s">
        <v>537</v>
      </c>
      <c r="H455" t="s">
        <v>538</v>
      </c>
      <c r="I455" t="s">
        <v>539</v>
      </c>
      <c r="L455" t="s">
        <v>540</v>
      </c>
      <c r="N455">
        <v>2017</v>
      </c>
      <c r="O455" s="1">
        <v>45783.293692129628</v>
      </c>
      <c r="P455" s="1">
        <v>45783.293692129628</v>
      </c>
      <c r="Q455" s="1">
        <v>45783.293692129628</v>
      </c>
      <c r="R455" t="s">
        <v>541</v>
      </c>
      <c r="U455">
        <v>10459</v>
      </c>
      <c r="AC455" t="s">
        <v>262</v>
      </c>
      <c r="AD455" t="s">
        <v>96</v>
      </c>
      <c r="AJ455" t="s">
        <v>98</v>
      </c>
      <c r="AL455" t="s">
        <v>542</v>
      </c>
      <c r="AR455" t="s">
        <v>543</v>
      </c>
    </row>
    <row r="456" spans="1:74" x14ac:dyDescent="0.2">
      <c r="A456" t="s">
        <v>6684</v>
      </c>
      <c r="B456" t="s">
        <v>7035</v>
      </c>
      <c r="C456" t="s">
        <v>2739</v>
      </c>
      <c r="D456" t="s">
        <v>477</v>
      </c>
      <c r="E456">
        <v>2010</v>
      </c>
      <c r="F456" t="s">
        <v>2740</v>
      </c>
      <c r="G456" s="6" t="s">
        <v>2741</v>
      </c>
      <c r="H456" t="s">
        <v>1185</v>
      </c>
      <c r="I456" t="s">
        <v>2742</v>
      </c>
      <c r="K456" t="s">
        <v>2743</v>
      </c>
      <c r="L456" t="s">
        <v>2744</v>
      </c>
      <c r="M456" t="s">
        <v>2745</v>
      </c>
      <c r="N456">
        <v>2010</v>
      </c>
      <c r="O456" s="1">
        <v>45783.300162037034</v>
      </c>
      <c r="P456" s="1">
        <v>45783.300162037034</v>
      </c>
      <c r="R456" t="s">
        <v>2746</v>
      </c>
      <c r="U456" t="s">
        <v>2747</v>
      </c>
      <c r="AE456" t="s">
        <v>645</v>
      </c>
      <c r="AH456" t="s">
        <v>646</v>
      </c>
      <c r="AL456" t="s">
        <v>1191</v>
      </c>
      <c r="AP456" t="s">
        <v>2748</v>
      </c>
      <c r="BV456" t="s">
        <v>1194</v>
      </c>
    </row>
    <row r="457" spans="1:74" x14ac:dyDescent="0.2">
      <c r="A457" t="s">
        <v>6684</v>
      </c>
      <c r="B457" t="s">
        <v>7035</v>
      </c>
      <c r="C457" t="s">
        <v>2263</v>
      </c>
      <c r="D457" t="s">
        <v>102</v>
      </c>
      <c r="E457">
        <v>2017</v>
      </c>
      <c r="F457" t="s">
        <v>2264</v>
      </c>
      <c r="G457" s="6" t="s">
        <v>2265</v>
      </c>
      <c r="H457" t="s">
        <v>2266</v>
      </c>
      <c r="J457" t="s">
        <v>2267</v>
      </c>
      <c r="L457" t="s">
        <v>2268</v>
      </c>
      <c r="M457" t="s">
        <v>2269</v>
      </c>
      <c r="N457">
        <v>2017</v>
      </c>
      <c r="O457" s="1">
        <v>45783.300162037034</v>
      </c>
      <c r="P457" s="1">
        <v>45783.300162037034</v>
      </c>
      <c r="R457" t="s">
        <v>2270</v>
      </c>
      <c r="T457">
        <v>2</v>
      </c>
      <c r="U457">
        <v>23</v>
      </c>
      <c r="W457" t="s">
        <v>2271</v>
      </c>
      <c r="AE457" t="s">
        <v>645</v>
      </c>
      <c r="AH457" t="s">
        <v>646</v>
      </c>
      <c r="AL457" t="s">
        <v>2272</v>
      </c>
      <c r="AP457" t="s">
        <v>2273</v>
      </c>
    </row>
    <row r="458" spans="1:74" x14ac:dyDescent="0.2">
      <c r="A458" t="s">
        <v>6684</v>
      </c>
      <c r="B458" t="s">
        <v>7035</v>
      </c>
      <c r="C458" t="s">
        <v>1899</v>
      </c>
      <c r="D458" t="s">
        <v>477</v>
      </c>
      <c r="E458">
        <v>2022</v>
      </c>
      <c r="F458" t="s">
        <v>1900</v>
      </c>
      <c r="G458" s="6" t="s">
        <v>1901</v>
      </c>
      <c r="H458" t="s">
        <v>1712</v>
      </c>
      <c r="I458" t="s">
        <v>1902</v>
      </c>
      <c r="K458" t="s">
        <v>1903</v>
      </c>
      <c r="L458" t="s">
        <v>1904</v>
      </c>
      <c r="M458" t="s">
        <v>1905</v>
      </c>
      <c r="N458">
        <v>2022</v>
      </c>
      <c r="O458" s="1">
        <v>45783.300162037034</v>
      </c>
      <c r="P458" s="1">
        <v>45783.300162037034</v>
      </c>
      <c r="R458" t="s">
        <v>1906</v>
      </c>
      <c r="AC458" t="s">
        <v>681</v>
      </c>
      <c r="AE458" t="s">
        <v>645</v>
      </c>
      <c r="AH458" t="s">
        <v>646</v>
      </c>
      <c r="AL458" t="s">
        <v>1718</v>
      </c>
      <c r="AP458" t="s">
        <v>1907</v>
      </c>
      <c r="BV458" t="s">
        <v>1908</v>
      </c>
    </row>
    <row r="459" spans="1:74" x14ac:dyDescent="0.2">
      <c r="A459" t="s">
        <v>6684</v>
      </c>
      <c r="B459" t="s">
        <v>6685</v>
      </c>
      <c r="C459" t="s">
        <v>1158</v>
      </c>
      <c r="D459" t="s">
        <v>477</v>
      </c>
      <c r="E459">
        <v>2023</v>
      </c>
      <c r="F459" t="s">
        <v>1159</v>
      </c>
      <c r="G459" s="6" t="s">
        <v>1160</v>
      </c>
      <c r="H459" t="s">
        <v>1161</v>
      </c>
      <c r="I459" t="s">
        <v>1162</v>
      </c>
      <c r="K459" t="s">
        <v>1163</v>
      </c>
      <c r="L459" t="s">
        <v>1164</v>
      </c>
      <c r="M459" t="s">
        <v>1165</v>
      </c>
      <c r="N459">
        <v>2023</v>
      </c>
      <c r="O459" s="1">
        <v>45783.300150462965</v>
      </c>
      <c r="P459" s="1">
        <v>45783.300150462965</v>
      </c>
      <c r="R459" t="s">
        <v>1166</v>
      </c>
      <c r="AC459" t="s">
        <v>1167</v>
      </c>
      <c r="AE459" t="s">
        <v>645</v>
      </c>
      <c r="AH459" t="s">
        <v>646</v>
      </c>
      <c r="AL459" t="s">
        <v>1168</v>
      </c>
      <c r="AP459" t="s">
        <v>1169</v>
      </c>
      <c r="BV459" t="s">
        <v>1170</v>
      </c>
    </row>
    <row r="460" spans="1:74" x14ac:dyDescent="0.2">
      <c r="A460" t="s">
        <v>6684</v>
      </c>
      <c r="B460" t="s">
        <v>7035</v>
      </c>
      <c r="C460" t="s">
        <v>1731</v>
      </c>
      <c r="D460" t="s">
        <v>477</v>
      </c>
      <c r="E460">
        <v>2020</v>
      </c>
      <c r="F460" t="s">
        <v>1732</v>
      </c>
      <c r="G460" s="6" t="s">
        <v>1733</v>
      </c>
      <c r="H460" t="s">
        <v>1161</v>
      </c>
      <c r="I460" t="s">
        <v>1734</v>
      </c>
      <c r="K460" t="s">
        <v>1735</v>
      </c>
      <c r="L460" t="s">
        <v>1736</v>
      </c>
      <c r="M460" t="s">
        <v>1737</v>
      </c>
      <c r="N460">
        <v>2020</v>
      </c>
      <c r="O460" s="1">
        <v>45783.300150462965</v>
      </c>
      <c r="P460" s="1">
        <v>45783.300150462965</v>
      </c>
      <c r="R460" t="s">
        <v>1738</v>
      </c>
      <c r="AC460" t="s">
        <v>1167</v>
      </c>
      <c r="AE460" t="s">
        <v>645</v>
      </c>
      <c r="AH460" t="s">
        <v>646</v>
      </c>
      <c r="AL460" t="s">
        <v>1168</v>
      </c>
      <c r="AP460" t="s">
        <v>1739</v>
      </c>
      <c r="AR460" t="s">
        <v>1740</v>
      </c>
      <c r="BV460" t="s">
        <v>1170</v>
      </c>
    </row>
    <row r="461" spans="1:74" x14ac:dyDescent="0.2">
      <c r="A461" t="s">
        <v>6684</v>
      </c>
      <c r="B461" t="s">
        <v>6657</v>
      </c>
      <c r="C461" t="s">
        <v>2867</v>
      </c>
      <c r="D461" t="s">
        <v>477</v>
      </c>
      <c r="E461">
        <v>2017</v>
      </c>
      <c r="F461" t="s">
        <v>2868</v>
      </c>
      <c r="G461" s="6" t="s">
        <v>2869</v>
      </c>
      <c r="H461" t="s">
        <v>2870</v>
      </c>
      <c r="I461" t="s">
        <v>2871</v>
      </c>
      <c r="K461" t="s">
        <v>2872</v>
      </c>
      <c r="L461" t="s">
        <v>2873</v>
      </c>
      <c r="M461" t="s">
        <v>2874</v>
      </c>
      <c r="N461">
        <v>2017</v>
      </c>
      <c r="O461" s="1">
        <v>45783.300162037034</v>
      </c>
      <c r="P461" s="1">
        <v>45783.300162037034</v>
      </c>
      <c r="R461" t="s">
        <v>2875</v>
      </c>
      <c r="AC461" t="s">
        <v>2876</v>
      </c>
      <c r="AE461" t="s">
        <v>645</v>
      </c>
      <c r="AH461" t="s">
        <v>646</v>
      </c>
      <c r="AL461" t="s">
        <v>2877</v>
      </c>
      <c r="AP461" t="s">
        <v>2878</v>
      </c>
      <c r="BV461" t="s">
        <v>2879</v>
      </c>
    </row>
    <row r="462" spans="1:74" x14ac:dyDescent="0.2">
      <c r="A462" t="s">
        <v>6684</v>
      </c>
      <c r="B462" t="s">
        <v>7050</v>
      </c>
      <c r="C462" t="s">
        <v>987</v>
      </c>
      <c r="D462" t="s">
        <v>477</v>
      </c>
      <c r="E462">
        <v>2024</v>
      </c>
      <c r="F462" t="s">
        <v>988</v>
      </c>
      <c r="G462" s="6" t="s">
        <v>989</v>
      </c>
      <c r="H462" t="s">
        <v>990</v>
      </c>
      <c r="I462" t="s">
        <v>991</v>
      </c>
      <c r="K462" t="s">
        <v>992</v>
      </c>
      <c r="L462" t="s">
        <v>993</v>
      </c>
      <c r="M462" t="s">
        <v>994</v>
      </c>
      <c r="N462">
        <v>2024</v>
      </c>
      <c r="O462" s="1">
        <v>45783.300150462965</v>
      </c>
      <c r="P462" s="1">
        <v>45783.452106481483</v>
      </c>
      <c r="R462" t="s">
        <v>995</v>
      </c>
      <c r="U462">
        <v>58</v>
      </c>
      <c r="AC462" t="s">
        <v>860</v>
      </c>
      <c r="AE462" t="s">
        <v>645</v>
      </c>
      <c r="AH462" t="s">
        <v>646</v>
      </c>
      <c r="AL462" t="s">
        <v>996</v>
      </c>
      <c r="AP462" t="s">
        <v>997</v>
      </c>
      <c r="AR462" t="s">
        <v>998</v>
      </c>
      <c r="BV462" t="s">
        <v>990</v>
      </c>
    </row>
    <row r="463" spans="1:74" x14ac:dyDescent="0.2">
      <c r="A463" t="s">
        <v>6684</v>
      </c>
      <c r="B463" t="s">
        <v>7035</v>
      </c>
      <c r="C463" t="s">
        <v>6383</v>
      </c>
      <c r="D463" t="s">
        <v>477</v>
      </c>
      <c r="E463">
        <v>2022</v>
      </c>
      <c r="F463" t="s">
        <v>6384</v>
      </c>
      <c r="G463" s="6" t="s">
        <v>6385</v>
      </c>
      <c r="H463" t="s">
        <v>6386</v>
      </c>
      <c r="I463" t="s">
        <v>6387</v>
      </c>
      <c r="K463" t="s">
        <v>6388</v>
      </c>
      <c r="L463" t="s">
        <v>6389</v>
      </c>
      <c r="N463" s="2">
        <v>44910</v>
      </c>
      <c r="O463" s="1">
        <v>45783.313518518517</v>
      </c>
      <c r="P463" s="1">
        <v>45783.456493055557</v>
      </c>
      <c r="Q463" s="1">
        <v>45783.313518518517</v>
      </c>
      <c r="R463" t="s">
        <v>6390</v>
      </c>
      <c r="AC463" t="s">
        <v>5107</v>
      </c>
      <c r="AD463" t="s">
        <v>5128</v>
      </c>
      <c r="AF463" t="s">
        <v>5109</v>
      </c>
      <c r="AJ463" t="s">
        <v>98</v>
      </c>
      <c r="AP463" t="s">
        <v>6391</v>
      </c>
      <c r="BV463" t="s">
        <v>6386</v>
      </c>
    </row>
    <row r="464" spans="1:74" x14ac:dyDescent="0.2">
      <c r="A464" t="s">
        <v>6684</v>
      </c>
      <c r="B464" t="s">
        <v>7050</v>
      </c>
      <c r="C464" t="s">
        <v>6606</v>
      </c>
      <c r="D464" t="s">
        <v>477</v>
      </c>
      <c r="E464">
        <v>2013</v>
      </c>
      <c r="F464" t="s">
        <v>6607</v>
      </c>
      <c r="G464" s="6" t="s">
        <v>6608</v>
      </c>
      <c r="H464" t="s">
        <v>6609</v>
      </c>
      <c r="I464" t="s">
        <v>6610</v>
      </c>
      <c r="K464" t="s">
        <v>6611</v>
      </c>
      <c r="L464" t="s">
        <v>6612</v>
      </c>
      <c r="N464" t="s">
        <v>6613</v>
      </c>
      <c r="O464" s="1">
        <v>45783.313900462963</v>
      </c>
      <c r="P464" s="1">
        <v>45783.377511574072</v>
      </c>
      <c r="Q464" s="1">
        <v>45783.313900462963</v>
      </c>
      <c r="R464" s="3">
        <v>45901</v>
      </c>
      <c r="AC464" t="s">
        <v>5107</v>
      </c>
      <c r="AD464" t="s">
        <v>6614</v>
      </c>
      <c r="AJ464" t="s">
        <v>98</v>
      </c>
      <c r="AP464" t="s">
        <v>6615</v>
      </c>
      <c r="BV464" t="s">
        <v>6616</v>
      </c>
    </row>
    <row r="465" spans="1:74" x14ac:dyDescent="0.2">
      <c r="A465" t="s">
        <v>6684</v>
      </c>
      <c r="B465" t="s">
        <v>7035</v>
      </c>
      <c r="C465" t="s">
        <v>4968</v>
      </c>
      <c r="D465" t="s">
        <v>477</v>
      </c>
      <c r="E465">
        <v>2017</v>
      </c>
      <c r="F465" t="s">
        <v>4969</v>
      </c>
      <c r="G465" s="6" t="s">
        <v>4970</v>
      </c>
      <c r="H465" t="s">
        <v>4971</v>
      </c>
      <c r="I465" t="s">
        <v>4972</v>
      </c>
      <c r="K465" t="s">
        <v>4973</v>
      </c>
      <c r="L465" t="s">
        <v>4974</v>
      </c>
      <c r="M465" t="s">
        <v>4975</v>
      </c>
      <c r="N465">
        <v>2017</v>
      </c>
      <c r="O465" s="1">
        <v>45783.306388888886</v>
      </c>
      <c r="P465" s="1">
        <v>45783.306388888886</v>
      </c>
      <c r="Y465" t="s">
        <v>4976</v>
      </c>
      <c r="AC465" t="s">
        <v>1167</v>
      </c>
      <c r="AD465" t="s">
        <v>3218</v>
      </c>
      <c r="AL465" t="s">
        <v>4977</v>
      </c>
      <c r="AP465" t="s">
        <v>4978</v>
      </c>
    </row>
    <row r="466" spans="1:74" x14ac:dyDescent="0.2">
      <c r="A466" t="s">
        <v>6684</v>
      </c>
      <c r="B466" t="s">
        <v>7035</v>
      </c>
      <c r="C466" t="s">
        <v>5925</v>
      </c>
      <c r="D466" t="s">
        <v>477</v>
      </c>
      <c r="E466">
        <v>2022</v>
      </c>
      <c r="F466" t="s">
        <v>5926</v>
      </c>
      <c r="G466" s="6" t="s">
        <v>5927</v>
      </c>
      <c r="H466" t="s">
        <v>5753</v>
      </c>
      <c r="I466" t="s">
        <v>5754</v>
      </c>
      <c r="K466" t="s">
        <v>5928</v>
      </c>
      <c r="L466" t="s">
        <v>5929</v>
      </c>
      <c r="N466" s="2">
        <v>44868</v>
      </c>
      <c r="O466" s="1">
        <v>45783.312083333331</v>
      </c>
      <c r="P466" s="1">
        <v>45783.312083333331</v>
      </c>
      <c r="Q466" s="1">
        <v>45783.312083333331</v>
      </c>
      <c r="R466" s="3">
        <v>45809</v>
      </c>
      <c r="X466" t="s">
        <v>5930</v>
      </c>
      <c r="AC466" t="s">
        <v>5107</v>
      </c>
      <c r="AD466" t="s">
        <v>5757</v>
      </c>
      <c r="AF466" t="s">
        <v>5109</v>
      </c>
      <c r="AJ466" t="s">
        <v>98</v>
      </c>
      <c r="BV466" t="s">
        <v>5753</v>
      </c>
    </row>
    <row r="467" spans="1:74" x14ac:dyDescent="0.2">
      <c r="A467" t="s">
        <v>6684</v>
      </c>
      <c r="B467" t="s">
        <v>7043</v>
      </c>
      <c r="C467" t="s">
        <v>5017</v>
      </c>
      <c r="D467" t="s">
        <v>4842</v>
      </c>
      <c r="E467">
        <v>2011</v>
      </c>
      <c r="F467" t="s">
        <v>5018</v>
      </c>
      <c r="G467" s="6" t="s">
        <v>5019</v>
      </c>
      <c r="I467" t="s">
        <v>5020</v>
      </c>
      <c r="M467" t="s">
        <v>5021</v>
      </c>
      <c r="N467">
        <v>2011</v>
      </c>
      <c r="O467" s="1">
        <v>45783.306388888886</v>
      </c>
      <c r="P467" s="1">
        <v>45783.306388888886</v>
      </c>
      <c r="AC467" t="s">
        <v>5022</v>
      </c>
    </row>
    <row r="468" spans="1:74" x14ac:dyDescent="0.2">
      <c r="A468" t="s">
        <v>6684</v>
      </c>
      <c r="B468" t="s">
        <v>7035</v>
      </c>
      <c r="C468" t="s">
        <v>1804</v>
      </c>
      <c r="D468" t="s">
        <v>102</v>
      </c>
      <c r="E468">
        <v>2022</v>
      </c>
      <c r="F468" t="s">
        <v>1805</v>
      </c>
      <c r="G468" s="6" t="s">
        <v>1806</v>
      </c>
      <c r="H468" t="s">
        <v>820</v>
      </c>
      <c r="J468" t="s">
        <v>821</v>
      </c>
      <c r="K468" t="s">
        <v>1807</v>
      </c>
      <c r="L468" t="s">
        <v>1808</v>
      </c>
      <c r="M468" t="s">
        <v>1809</v>
      </c>
      <c r="N468">
        <v>2022</v>
      </c>
      <c r="O468" s="1">
        <v>45783.300162037034</v>
      </c>
      <c r="P468" s="1">
        <v>45783.300162037034</v>
      </c>
      <c r="T468">
        <v>10</v>
      </c>
      <c r="U468">
        <v>12</v>
      </c>
      <c r="W468" t="s">
        <v>825</v>
      </c>
      <c r="AE468" t="s">
        <v>645</v>
      </c>
      <c r="AH468" t="s">
        <v>646</v>
      </c>
      <c r="AL468" t="s">
        <v>1524</v>
      </c>
      <c r="AP468" t="s">
        <v>1810</v>
      </c>
    </row>
    <row r="469" spans="1:74" x14ac:dyDescent="0.2">
      <c r="A469" t="s">
        <v>6684</v>
      </c>
      <c r="B469" t="s">
        <v>7036</v>
      </c>
      <c r="C469" t="s">
        <v>5784</v>
      </c>
      <c r="D469" t="s">
        <v>477</v>
      </c>
      <c r="E469">
        <v>2022</v>
      </c>
      <c r="F469" t="s">
        <v>5785</v>
      </c>
      <c r="G469" s="6" t="s">
        <v>5786</v>
      </c>
      <c r="H469" t="s">
        <v>5787</v>
      </c>
      <c r="I469" t="s">
        <v>5788</v>
      </c>
      <c r="K469" t="s">
        <v>5789</v>
      </c>
      <c r="L469" t="s">
        <v>5790</v>
      </c>
      <c r="N469" s="2">
        <v>44583</v>
      </c>
      <c r="O469" s="1">
        <v>45783.311909722222</v>
      </c>
      <c r="P469" s="1">
        <v>45783.311909722222</v>
      </c>
      <c r="Q469" s="1">
        <v>45783.311909722222</v>
      </c>
      <c r="R469" t="s">
        <v>5791</v>
      </c>
      <c r="AC469" t="s">
        <v>5107</v>
      </c>
      <c r="AD469" t="s">
        <v>5250</v>
      </c>
      <c r="AF469" t="s">
        <v>5109</v>
      </c>
      <c r="AJ469" t="s">
        <v>98</v>
      </c>
      <c r="BV469" t="s">
        <v>5787</v>
      </c>
    </row>
    <row r="470" spans="1:74" x14ac:dyDescent="0.2">
      <c r="A470" t="s">
        <v>6684</v>
      </c>
      <c r="B470" t="s">
        <v>7035</v>
      </c>
      <c r="C470" t="s">
        <v>1054</v>
      </c>
      <c r="D470" t="s">
        <v>102</v>
      </c>
      <c r="E470">
        <v>2024</v>
      </c>
      <c r="F470" t="s">
        <v>1055</v>
      </c>
      <c r="G470" s="6" t="s">
        <v>1056</v>
      </c>
      <c r="H470" t="s">
        <v>1057</v>
      </c>
      <c r="J470" t="s">
        <v>1058</v>
      </c>
      <c r="K470" t="s">
        <v>1059</v>
      </c>
      <c r="L470" t="s">
        <v>1060</v>
      </c>
      <c r="M470" t="s">
        <v>1061</v>
      </c>
      <c r="N470">
        <v>2024</v>
      </c>
      <c r="O470" s="1">
        <v>45783.300150462965</v>
      </c>
      <c r="P470" s="1">
        <v>45783.300150462965</v>
      </c>
      <c r="U470">
        <v>12</v>
      </c>
      <c r="W470" t="s">
        <v>1057</v>
      </c>
      <c r="AE470" t="s">
        <v>645</v>
      </c>
      <c r="AH470" t="s">
        <v>646</v>
      </c>
      <c r="AL470" t="s">
        <v>1062</v>
      </c>
      <c r="AP470" t="s">
        <v>1063</v>
      </c>
    </row>
    <row r="471" spans="1:74" x14ac:dyDescent="0.2">
      <c r="A471" t="s">
        <v>6684</v>
      </c>
      <c r="B471" t="s">
        <v>7035</v>
      </c>
      <c r="C471" t="s">
        <v>3729</v>
      </c>
      <c r="D471" t="s">
        <v>102</v>
      </c>
      <c r="E471">
        <v>2015</v>
      </c>
      <c r="F471" t="s">
        <v>3730</v>
      </c>
      <c r="G471" s="6" t="s">
        <v>3731</v>
      </c>
      <c r="H471" t="s">
        <v>3732</v>
      </c>
      <c r="J471" t="s">
        <v>3733</v>
      </c>
      <c r="K471" t="s">
        <v>3734</v>
      </c>
      <c r="L471" t="s">
        <v>3735</v>
      </c>
      <c r="M471" t="s">
        <v>3736</v>
      </c>
      <c r="N471" t="s">
        <v>3737</v>
      </c>
      <c r="O471" s="1">
        <v>45783.30636574074</v>
      </c>
      <c r="P471" s="1">
        <v>45783.30636574074</v>
      </c>
      <c r="R471" t="s">
        <v>3738</v>
      </c>
      <c r="T471">
        <v>3</v>
      </c>
      <c r="U471">
        <v>7</v>
      </c>
      <c r="AL471" t="s">
        <v>3739</v>
      </c>
      <c r="AP471" t="s">
        <v>3740</v>
      </c>
    </row>
    <row r="472" spans="1:74" x14ac:dyDescent="0.2">
      <c r="A472" t="s">
        <v>6684</v>
      </c>
      <c r="B472" t="s">
        <v>6657</v>
      </c>
      <c r="C472" t="s">
        <v>2510</v>
      </c>
      <c r="D472" t="s">
        <v>477</v>
      </c>
      <c r="E472">
        <v>2020</v>
      </c>
      <c r="F472" t="s">
        <v>2511</v>
      </c>
      <c r="G472" s="6" t="s">
        <v>2512</v>
      </c>
      <c r="H472" t="s">
        <v>2513</v>
      </c>
      <c r="I472" t="s">
        <v>2514</v>
      </c>
      <c r="K472" t="s">
        <v>2515</v>
      </c>
      <c r="L472" t="s">
        <v>2516</v>
      </c>
      <c r="M472" t="s">
        <v>2517</v>
      </c>
      <c r="N472">
        <v>2020</v>
      </c>
      <c r="O472" s="1">
        <v>45783.300162037034</v>
      </c>
      <c r="P472" s="1">
        <v>45783.300162037034</v>
      </c>
      <c r="R472" t="s">
        <v>2518</v>
      </c>
      <c r="U472" t="s">
        <v>2519</v>
      </c>
      <c r="AC472" t="s">
        <v>1535</v>
      </c>
      <c r="AE472" t="s">
        <v>645</v>
      </c>
      <c r="AH472" t="s">
        <v>646</v>
      </c>
      <c r="AL472" t="s">
        <v>2520</v>
      </c>
      <c r="AP472" t="s">
        <v>2521</v>
      </c>
      <c r="AR472" t="s">
        <v>2522</v>
      </c>
      <c r="BV472" t="s">
        <v>2523</v>
      </c>
    </row>
    <row r="473" spans="1:74" x14ac:dyDescent="0.2">
      <c r="A473" t="s">
        <v>6684</v>
      </c>
      <c r="B473" t="s">
        <v>6657</v>
      </c>
      <c r="C473" t="s">
        <v>1797</v>
      </c>
      <c r="D473" t="s">
        <v>102</v>
      </c>
      <c r="E473">
        <v>2020</v>
      </c>
      <c r="F473" t="s">
        <v>1798</v>
      </c>
      <c r="G473" s="6" t="s">
        <v>1799</v>
      </c>
      <c r="H473" t="s">
        <v>948</v>
      </c>
      <c r="J473" t="s">
        <v>949</v>
      </c>
      <c r="K473" t="s">
        <v>1800</v>
      </c>
      <c r="L473" t="s">
        <v>1801</v>
      </c>
      <c r="M473" t="s">
        <v>1802</v>
      </c>
      <c r="N473">
        <v>2020</v>
      </c>
      <c r="O473" s="1">
        <v>45783.300162037034</v>
      </c>
      <c r="P473" s="1">
        <v>45783.300162037034</v>
      </c>
      <c r="U473">
        <v>64</v>
      </c>
      <c r="W473" t="s">
        <v>953</v>
      </c>
      <c r="AE473" t="s">
        <v>645</v>
      </c>
      <c r="AH473" t="s">
        <v>646</v>
      </c>
      <c r="AL473" t="s">
        <v>706</v>
      </c>
      <c r="AP473" t="s">
        <v>1803</v>
      </c>
    </row>
    <row r="474" spans="1:74" x14ac:dyDescent="0.2">
      <c r="A474" t="s">
        <v>6684</v>
      </c>
      <c r="B474" t="s">
        <v>6657</v>
      </c>
      <c r="C474" t="s">
        <v>2723</v>
      </c>
      <c r="D474" t="s">
        <v>102</v>
      </c>
      <c r="E474">
        <v>2013</v>
      </c>
      <c r="F474" t="s">
        <v>2724</v>
      </c>
      <c r="G474" s="6" t="s">
        <v>2725</v>
      </c>
      <c r="H474" t="s">
        <v>1087</v>
      </c>
      <c r="J474" t="s">
        <v>2726</v>
      </c>
      <c r="K474" t="s">
        <v>2727</v>
      </c>
      <c r="L474" t="s">
        <v>2728</v>
      </c>
      <c r="M474" t="s">
        <v>2729</v>
      </c>
      <c r="N474">
        <v>2013</v>
      </c>
      <c r="O474" s="1">
        <v>45783.300162037034</v>
      </c>
      <c r="P474" s="1">
        <v>45783.300162037034</v>
      </c>
      <c r="R474" t="s">
        <v>2730</v>
      </c>
      <c r="T474">
        <v>2</v>
      </c>
      <c r="U474">
        <v>111</v>
      </c>
      <c r="W474" t="s">
        <v>1092</v>
      </c>
      <c r="AE474" t="s">
        <v>645</v>
      </c>
      <c r="AH474" t="s">
        <v>646</v>
      </c>
      <c r="AP474" t="s">
        <v>2731</v>
      </c>
    </row>
    <row r="475" spans="1:74" x14ac:dyDescent="0.2">
      <c r="A475" t="s">
        <v>6684</v>
      </c>
      <c r="B475" t="s">
        <v>6685</v>
      </c>
      <c r="C475" t="s">
        <v>1209</v>
      </c>
      <c r="D475" t="s">
        <v>477</v>
      </c>
      <c r="E475">
        <v>2023</v>
      </c>
      <c r="F475" t="s">
        <v>1210</v>
      </c>
      <c r="G475" s="6" t="s">
        <v>1211</v>
      </c>
      <c r="H475" t="s">
        <v>795</v>
      </c>
      <c r="I475" t="s">
        <v>1212</v>
      </c>
      <c r="K475" t="s">
        <v>1213</v>
      </c>
      <c r="L475" t="s">
        <v>1214</v>
      </c>
      <c r="M475" t="s">
        <v>1215</v>
      </c>
      <c r="N475">
        <v>2023</v>
      </c>
      <c r="O475" s="1">
        <v>45783.300150462965</v>
      </c>
      <c r="P475" s="1">
        <v>45783.300150462965</v>
      </c>
      <c r="R475" t="s">
        <v>1216</v>
      </c>
      <c r="AC475" t="s">
        <v>801</v>
      </c>
      <c r="AE475" t="s">
        <v>645</v>
      </c>
      <c r="AH475" t="s">
        <v>646</v>
      </c>
      <c r="AL475" t="s">
        <v>802</v>
      </c>
      <c r="AP475" t="s">
        <v>1217</v>
      </c>
      <c r="AR475" t="s">
        <v>1218</v>
      </c>
      <c r="BV475" t="s">
        <v>1219</v>
      </c>
    </row>
    <row r="476" spans="1:74" x14ac:dyDescent="0.2">
      <c r="A476" t="s">
        <v>7034</v>
      </c>
      <c r="B476" t="s">
        <v>7048</v>
      </c>
      <c r="C476" t="s">
        <v>4037</v>
      </c>
      <c r="D476" t="s">
        <v>102</v>
      </c>
      <c r="E476">
        <v>2023</v>
      </c>
      <c r="F476" t="s">
        <v>4038</v>
      </c>
      <c r="G476" s="6" t="s">
        <v>4039</v>
      </c>
      <c r="H476" t="s">
        <v>948</v>
      </c>
      <c r="J476" t="s">
        <v>4040</v>
      </c>
      <c r="K476" t="s">
        <v>4041</v>
      </c>
      <c r="L476" t="s">
        <v>4042</v>
      </c>
      <c r="N476" t="s">
        <v>4043</v>
      </c>
      <c r="O476" s="1">
        <v>45783.306377314817</v>
      </c>
      <c r="P476" s="1">
        <v>45783.480821759258</v>
      </c>
      <c r="T476" t="s">
        <v>3283</v>
      </c>
      <c r="U476">
        <v>83</v>
      </c>
      <c r="W476" t="s">
        <v>953</v>
      </c>
      <c r="AL476" t="s">
        <v>3435</v>
      </c>
      <c r="AP476" t="s">
        <v>4044</v>
      </c>
    </row>
    <row r="477" spans="1:74" x14ac:dyDescent="0.2">
      <c r="A477" t="s">
        <v>6684</v>
      </c>
      <c r="B477" t="s">
        <v>6657</v>
      </c>
      <c r="C477" t="s">
        <v>4841</v>
      </c>
      <c r="D477" t="s">
        <v>4842</v>
      </c>
      <c r="E477">
        <v>2017</v>
      </c>
      <c r="F477" t="s">
        <v>4843</v>
      </c>
      <c r="G477" s="6" t="s">
        <v>4844</v>
      </c>
      <c r="I477" t="s">
        <v>4845</v>
      </c>
      <c r="M477" t="s">
        <v>4846</v>
      </c>
      <c r="N477">
        <v>2017</v>
      </c>
      <c r="O477" s="1">
        <v>45783.306377314817</v>
      </c>
      <c r="P477" s="1">
        <v>45783.306377314817</v>
      </c>
      <c r="AC477" t="s">
        <v>4847</v>
      </c>
      <c r="AD477" t="s">
        <v>3867</v>
      </c>
      <c r="BK477" t="s">
        <v>4848</v>
      </c>
    </row>
    <row r="478" spans="1:74" x14ac:dyDescent="0.2">
      <c r="A478" t="s">
        <v>7034</v>
      </c>
      <c r="B478" t="s">
        <v>7054</v>
      </c>
      <c r="C478" t="s">
        <v>315</v>
      </c>
      <c r="D478" t="s">
        <v>88</v>
      </c>
      <c r="E478">
        <v>2024</v>
      </c>
      <c r="F478" t="s">
        <v>316</v>
      </c>
      <c r="G478" s="6" t="s">
        <v>317</v>
      </c>
      <c r="H478" t="s">
        <v>318</v>
      </c>
      <c r="I478" t="s">
        <v>319</v>
      </c>
      <c r="L478" t="s">
        <v>320</v>
      </c>
      <c r="N478">
        <v>2024</v>
      </c>
      <c r="O478" s="1">
        <v>45783.293263888889</v>
      </c>
      <c r="P478" s="1">
        <v>45783.293263888889</v>
      </c>
      <c r="Q478" s="1">
        <v>45783.293263888889</v>
      </c>
      <c r="R478" t="s">
        <v>321</v>
      </c>
      <c r="U478">
        <v>35</v>
      </c>
      <c r="X478" t="s">
        <v>322</v>
      </c>
      <c r="AC478" t="s">
        <v>95</v>
      </c>
      <c r="AD478" t="s">
        <v>96</v>
      </c>
      <c r="AE478" t="s">
        <v>97</v>
      </c>
      <c r="AJ478" t="s">
        <v>98</v>
      </c>
      <c r="AL478" t="s">
        <v>323</v>
      </c>
      <c r="AR478" t="s">
        <v>324</v>
      </c>
    </row>
    <row r="479" spans="1:74" x14ac:dyDescent="0.2">
      <c r="A479" t="s">
        <v>6684</v>
      </c>
      <c r="B479" t="s">
        <v>7035</v>
      </c>
      <c r="C479" t="s">
        <v>6122</v>
      </c>
      <c r="D479" t="s">
        <v>477</v>
      </c>
      <c r="E479">
        <v>2024</v>
      </c>
      <c r="F479" t="s">
        <v>6123</v>
      </c>
      <c r="G479" s="6" t="s">
        <v>6124</v>
      </c>
      <c r="H479" t="s">
        <v>6125</v>
      </c>
      <c r="I479" t="s">
        <v>6126</v>
      </c>
      <c r="K479" t="s">
        <v>6127</v>
      </c>
      <c r="L479" t="s">
        <v>6128</v>
      </c>
      <c r="N479" s="2">
        <v>45638</v>
      </c>
      <c r="O479" s="1">
        <v>45783.312581018516</v>
      </c>
      <c r="P479" s="1">
        <v>45783.312581018516</v>
      </c>
      <c r="Q479" s="1">
        <v>45783.312581018516</v>
      </c>
      <c r="R479" t="s">
        <v>6129</v>
      </c>
      <c r="X479" t="s">
        <v>6130</v>
      </c>
      <c r="AC479" t="s">
        <v>5107</v>
      </c>
      <c r="AD479" t="s">
        <v>6131</v>
      </c>
      <c r="AF479" t="s">
        <v>5109</v>
      </c>
      <c r="AJ479" t="s">
        <v>98</v>
      </c>
      <c r="BV479" t="s">
        <v>6125</v>
      </c>
    </row>
    <row r="480" spans="1:74" x14ac:dyDescent="0.2">
      <c r="A480" t="s">
        <v>6684</v>
      </c>
      <c r="B480" t="s">
        <v>7045</v>
      </c>
      <c r="C480" t="s">
        <v>4253</v>
      </c>
      <c r="D480" t="s">
        <v>477</v>
      </c>
      <c r="E480">
        <v>2016</v>
      </c>
      <c r="F480" t="s">
        <v>4254</v>
      </c>
      <c r="G480" s="6" t="s">
        <v>4255</v>
      </c>
      <c r="H480" t="s">
        <v>4256</v>
      </c>
      <c r="I480" t="s">
        <v>4257</v>
      </c>
      <c r="K480" t="s">
        <v>4258</v>
      </c>
      <c r="L480" t="s">
        <v>4259</v>
      </c>
      <c r="M480" t="s">
        <v>4260</v>
      </c>
      <c r="N480">
        <v>2016</v>
      </c>
      <c r="O480" s="1">
        <v>45783.306377314817</v>
      </c>
      <c r="P480" s="1">
        <v>45783.306377314817</v>
      </c>
      <c r="Y480" t="s">
        <v>4261</v>
      </c>
      <c r="AC480" t="s">
        <v>1167</v>
      </c>
      <c r="AD480" t="s">
        <v>3218</v>
      </c>
      <c r="AL480" t="s">
        <v>3513</v>
      </c>
      <c r="AP480" t="s">
        <v>4262</v>
      </c>
    </row>
    <row r="481" spans="1:74" x14ac:dyDescent="0.2">
      <c r="A481" t="s">
        <v>6684</v>
      </c>
      <c r="B481" t="s">
        <v>7035</v>
      </c>
      <c r="C481" t="s">
        <v>4788</v>
      </c>
      <c r="D481" t="s">
        <v>477</v>
      </c>
      <c r="E481">
        <v>2014</v>
      </c>
      <c r="F481" t="s">
        <v>4789</v>
      </c>
      <c r="G481" s="6" t="s">
        <v>4790</v>
      </c>
      <c r="H481" t="s">
        <v>4791</v>
      </c>
      <c r="I481" t="s">
        <v>4792</v>
      </c>
      <c r="K481" t="s">
        <v>4793</v>
      </c>
      <c r="L481" t="s">
        <v>4794</v>
      </c>
      <c r="M481" t="s">
        <v>4795</v>
      </c>
      <c r="N481">
        <v>2014</v>
      </c>
      <c r="O481" s="1">
        <v>45783.306377314817</v>
      </c>
      <c r="P481" s="1">
        <v>45783.306377314817</v>
      </c>
      <c r="R481" t="s">
        <v>4796</v>
      </c>
      <c r="Y481" t="s">
        <v>4797</v>
      </c>
      <c r="AC481" t="s">
        <v>1167</v>
      </c>
      <c r="AD481" t="s">
        <v>3218</v>
      </c>
      <c r="AL481" t="s">
        <v>4798</v>
      </c>
      <c r="AP481" t="s">
        <v>4799</v>
      </c>
    </row>
    <row r="482" spans="1:74" x14ac:dyDescent="0.2">
      <c r="A482" t="s">
        <v>6684</v>
      </c>
      <c r="B482" t="s">
        <v>6685</v>
      </c>
      <c r="C482" t="s">
        <v>4163</v>
      </c>
      <c r="D482" t="s">
        <v>477</v>
      </c>
      <c r="E482">
        <v>2025</v>
      </c>
      <c r="F482" t="s">
        <v>4164</v>
      </c>
      <c r="G482" s="6" t="s">
        <v>4165</v>
      </c>
      <c r="H482" t="s">
        <v>3959</v>
      </c>
      <c r="I482" t="s">
        <v>3960</v>
      </c>
      <c r="K482" t="s">
        <v>4166</v>
      </c>
      <c r="L482" t="s">
        <v>4167</v>
      </c>
      <c r="M482" t="s">
        <v>4168</v>
      </c>
      <c r="N482">
        <v>2025</v>
      </c>
      <c r="O482" s="1">
        <v>45783.306377314817</v>
      </c>
      <c r="P482" s="1">
        <v>45783.306377314817</v>
      </c>
      <c r="Y482" t="s">
        <v>3964</v>
      </c>
      <c r="AC482" t="s">
        <v>1167</v>
      </c>
      <c r="AD482" t="s">
        <v>3218</v>
      </c>
      <c r="AP482" t="s">
        <v>4169</v>
      </c>
    </row>
    <row r="483" spans="1:74" x14ac:dyDescent="0.2">
      <c r="A483" t="s">
        <v>6684</v>
      </c>
      <c r="B483" t="s">
        <v>7050</v>
      </c>
      <c r="C483" t="s">
        <v>5477</v>
      </c>
      <c r="D483" t="s">
        <v>477</v>
      </c>
      <c r="E483">
        <v>2024</v>
      </c>
      <c r="F483" t="s">
        <v>5478</v>
      </c>
      <c r="G483" s="6" t="s">
        <v>5479</v>
      </c>
      <c r="H483" t="s">
        <v>5480</v>
      </c>
      <c r="I483" t="s">
        <v>5481</v>
      </c>
      <c r="K483" t="s">
        <v>5482</v>
      </c>
      <c r="L483" t="s">
        <v>5483</v>
      </c>
      <c r="N483" s="2">
        <v>45625</v>
      </c>
      <c r="O483" s="1">
        <v>45783.31145833333</v>
      </c>
      <c r="P483" s="1">
        <v>45783.31145833333</v>
      </c>
      <c r="Q483" s="1">
        <v>45783.31145833333</v>
      </c>
      <c r="R483" s="3">
        <v>45778</v>
      </c>
      <c r="AC483" t="s">
        <v>5107</v>
      </c>
      <c r="AD483" t="s">
        <v>5484</v>
      </c>
      <c r="AF483" t="s">
        <v>5109</v>
      </c>
      <c r="AJ483" t="s">
        <v>98</v>
      </c>
      <c r="BV483" t="s">
        <v>5480</v>
      </c>
    </row>
    <row r="484" spans="1:74" x14ac:dyDescent="0.2">
      <c r="A484" t="s">
        <v>6684</v>
      </c>
      <c r="B484" t="s">
        <v>7055</v>
      </c>
      <c r="C484" t="s">
        <v>5384</v>
      </c>
      <c r="D484" t="s">
        <v>477</v>
      </c>
      <c r="E484">
        <v>2018</v>
      </c>
      <c r="F484" t="s">
        <v>5385</v>
      </c>
      <c r="G484" s="6" t="s">
        <v>5386</v>
      </c>
      <c r="H484" t="s">
        <v>5387</v>
      </c>
      <c r="I484" t="s">
        <v>5388</v>
      </c>
      <c r="K484" t="s">
        <v>5389</v>
      </c>
      <c r="L484" t="s">
        <v>5390</v>
      </c>
      <c r="N484" t="s">
        <v>5391</v>
      </c>
      <c r="O484" s="1">
        <v>45783.311365740738</v>
      </c>
      <c r="P484" s="1">
        <v>45783.311365740738</v>
      </c>
      <c r="Q484" s="1">
        <v>45783.311365740738</v>
      </c>
      <c r="R484" s="3">
        <v>45748</v>
      </c>
      <c r="X484" t="s">
        <v>5392</v>
      </c>
      <c r="AC484" t="s">
        <v>5107</v>
      </c>
      <c r="AD484" t="s">
        <v>5393</v>
      </c>
      <c r="AJ484" t="s">
        <v>98</v>
      </c>
      <c r="BV484" t="s">
        <v>5387</v>
      </c>
    </row>
    <row r="485" spans="1:74" x14ac:dyDescent="0.2">
      <c r="A485" t="s">
        <v>6684</v>
      </c>
      <c r="B485" t="s">
        <v>6657</v>
      </c>
      <c r="C485" t="s">
        <v>1278</v>
      </c>
      <c r="D485" t="s">
        <v>477</v>
      </c>
      <c r="E485">
        <v>2024</v>
      </c>
      <c r="F485" t="s">
        <v>1279</v>
      </c>
      <c r="G485" s="6" t="s">
        <v>1280</v>
      </c>
      <c r="H485" t="s">
        <v>1281</v>
      </c>
      <c r="I485" t="s">
        <v>1282</v>
      </c>
      <c r="L485" t="s">
        <v>1283</v>
      </c>
      <c r="M485" t="s">
        <v>1284</v>
      </c>
      <c r="N485">
        <v>2024</v>
      </c>
      <c r="O485" s="1">
        <v>45783.300150462965</v>
      </c>
      <c r="P485" s="1">
        <v>45783.300150462965</v>
      </c>
      <c r="R485" t="s">
        <v>1285</v>
      </c>
      <c r="AC485" t="s">
        <v>1286</v>
      </c>
      <c r="AE485" t="s">
        <v>645</v>
      </c>
      <c r="AH485" t="s">
        <v>646</v>
      </c>
      <c r="AL485" t="s">
        <v>1287</v>
      </c>
      <c r="AP485" t="s">
        <v>1288</v>
      </c>
      <c r="BV485" t="s">
        <v>1289</v>
      </c>
    </row>
    <row r="486" spans="1:74" x14ac:dyDescent="0.2">
      <c r="A486" t="s">
        <v>6684</v>
      </c>
      <c r="B486" t="s">
        <v>6653</v>
      </c>
      <c r="C486" t="s">
        <v>5468</v>
      </c>
      <c r="D486" t="s">
        <v>477</v>
      </c>
      <c r="E486">
        <v>2015</v>
      </c>
      <c r="F486" t="s">
        <v>5469</v>
      </c>
      <c r="G486" s="6" t="s">
        <v>5470</v>
      </c>
      <c r="H486" t="s">
        <v>5471</v>
      </c>
      <c r="I486" t="s">
        <v>5472</v>
      </c>
      <c r="K486" t="s">
        <v>5473</v>
      </c>
      <c r="L486" t="s">
        <v>5474</v>
      </c>
      <c r="N486" t="s">
        <v>5475</v>
      </c>
      <c r="O486" s="1">
        <v>45783.31144675926</v>
      </c>
      <c r="P486" s="1">
        <v>45783.31144675926</v>
      </c>
      <c r="Q486" s="1">
        <v>45783.31144675926</v>
      </c>
      <c r="R486" s="3">
        <v>45748</v>
      </c>
      <c r="AC486" t="s">
        <v>5107</v>
      </c>
      <c r="AD486" t="s">
        <v>5476</v>
      </c>
      <c r="AJ486" t="s">
        <v>98</v>
      </c>
      <c r="BV486" t="s">
        <v>5471</v>
      </c>
    </row>
    <row r="487" spans="1:74" x14ac:dyDescent="0.2">
      <c r="A487" t="s">
        <v>6684</v>
      </c>
      <c r="B487" t="s">
        <v>7035</v>
      </c>
      <c r="C487" t="s">
        <v>5354</v>
      </c>
      <c r="D487" t="s">
        <v>477</v>
      </c>
      <c r="E487">
        <v>2023</v>
      </c>
      <c r="F487" t="s">
        <v>5355</v>
      </c>
      <c r="G487" s="6" t="s">
        <v>5356</v>
      </c>
      <c r="H487" t="s">
        <v>5357</v>
      </c>
      <c r="I487" t="s">
        <v>5358</v>
      </c>
      <c r="K487" t="s">
        <v>5359</v>
      </c>
      <c r="L487" t="s">
        <v>5360</v>
      </c>
      <c r="N487" s="2">
        <v>45246</v>
      </c>
      <c r="O487" s="1">
        <v>45783.311331018522</v>
      </c>
      <c r="P487" s="1">
        <v>45783.311331018522</v>
      </c>
      <c r="Q487" s="1">
        <v>45783.311331018522</v>
      </c>
      <c r="R487" t="s">
        <v>5361</v>
      </c>
      <c r="X487" t="s">
        <v>5362</v>
      </c>
      <c r="AC487" t="s">
        <v>5107</v>
      </c>
      <c r="AD487" t="s">
        <v>5363</v>
      </c>
      <c r="AF487" t="s">
        <v>5109</v>
      </c>
      <c r="AJ487" t="s">
        <v>98</v>
      </c>
      <c r="BV487" t="s">
        <v>5357</v>
      </c>
    </row>
    <row r="488" spans="1:74" x14ac:dyDescent="0.2">
      <c r="A488" t="s">
        <v>7033</v>
      </c>
      <c r="B488" t="s">
        <v>7041</v>
      </c>
      <c r="C488" t="s">
        <v>3037</v>
      </c>
      <c r="D488" t="s">
        <v>102</v>
      </c>
      <c r="E488">
        <v>2012</v>
      </c>
      <c r="F488" t="s">
        <v>3038</v>
      </c>
      <c r="G488" s="6" t="s">
        <v>3039</v>
      </c>
      <c r="H488" t="s">
        <v>3040</v>
      </c>
      <c r="J488" t="s">
        <v>3041</v>
      </c>
      <c r="K488" t="s">
        <v>3042</v>
      </c>
      <c r="L488" t="s">
        <v>3043</v>
      </c>
      <c r="M488" t="s">
        <v>3044</v>
      </c>
      <c r="N488">
        <v>2012</v>
      </c>
      <c r="O488" s="1">
        <v>45783.300173611111</v>
      </c>
      <c r="P488" s="1">
        <v>45783.300173611111</v>
      </c>
      <c r="T488">
        <v>2</v>
      </c>
      <c r="U488">
        <v>12</v>
      </c>
      <c r="W488" t="s">
        <v>3045</v>
      </c>
      <c r="AE488" t="s">
        <v>645</v>
      </c>
      <c r="AH488" t="s">
        <v>646</v>
      </c>
      <c r="AL488" t="s">
        <v>3046</v>
      </c>
      <c r="AP488" t="s">
        <v>3047</v>
      </c>
    </row>
    <row r="489" spans="1:74" x14ac:dyDescent="0.2">
      <c r="A489" t="s">
        <v>6684</v>
      </c>
      <c r="B489" t="s">
        <v>7035</v>
      </c>
      <c r="C489" t="s">
        <v>4542</v>
      </c>
      <c r="D489" t="s">
        <v>477</v>
      </c>
      <c r="E489">
        <v>2023</v>
      </c>
      <c r="F489" t="s">
        <v>4543</v>
      </c>
      <c r="G489" s="6" t="s">
        <v>4544</v>
      </c>
      <c r="H489" t="s">
        <v>4545</v>
      </c>
      <c r="I489" t="s">
        <v>4546</v>
      </c>
      <c r="K489" t="s">
        <v>4547</v>
      </c>
      <c r="L489" t="s">
        <v>4548</v>
      </c>
      <c r="M489" t="s">
        <v>4549</v>
      </c>
      <c r="N489">
        <v>2023</v>
      </c>
      <c r="O489" s="1">
        <v>45783.306377314817</v>
      </c>
      <c r="P489" s="1">
        <v>45783.461967592593</v>
      </c>
      <c r="Y489" t="s">
        <v>4550</v>
      </c>
      <c r="AC489" t="s">
        <v>1167</v>
      </c>
      <c r="AD489" t="s">
        <v>3218</v>
      </c>
      <c r="AL489" t="s">
        <v>4551</v>
      </c>
      <c r="AP489" t="s">
        <v>4552</v>
      </c>
      <c r="BV489" t="s">
        <v>4553</v>
      </c>
    </row>
    <row r="490" spans="1:74" x14ac:dyDescent="0.2">
      <c r="A490" t="s">
        <v>6684</v>
      </c>
      <c r="B490" t="s">
        <v>7035</v>
      </c>
      <c r="C490" t="s">
        <v>3682</v>
      </c>
      <c r="D490" t="s">
        <v>477</v>
      </c>
      <c r="E490">
        <v>2019</v>
      </c>
      <c r="F490" t="s">
        <v>3683</v>
      </c>
      <c r="G490" s="6" t="s">
        <v>3684</v>
      </c>
      <c r="H490" t="s">
        <v>3685</v>
      </c>
      <c r="I490" t="s">
        <v>3686</v>
      </c>
      <c r="K490" t="s">
        <v>3687</v>
      </c>
      <c r="L490" t="s">
        <v>3688</v>
      </c>
      <c r="M490" t="s">
        <v>3689</v>
      </c>
      <c r="N490">
        <v>2019</v>
      </c>
      <c r="O490" s="1">
        <v>45783.293645833335</v>
      </c>
      <c r="P490" s="1">
        <v>45784.354953703703</v>
      </c>
      <c r="R490" t="s">
        <v>3690</v>
      </c>
      <c r="U490">
        <v>11569</v>
      </c>
      <c r="AC490" t="s">
        <v>3194</v>
      </c>
      <c r="AD490" t="s">
        <v>589</v>
      </c>
      <c r="AL490" t="s">
        <v>3680</v>
      </c>
      <c r="AP490" t="s">
        <v>3691</v>
      </c>
    </row>
    <row r="491" spans="1:74" x14ac:dyDescent="0.2">
      <c r="A491" t="s">
        <v>6684</v>
      </c>
      <c r="B491" t="s">
        <v>7040</v>
      </c>
      <c r="C491" t="s">
        <v>2478</v>
      </c>
      <c r="D491" t="s">
        <v>477</v>
      </c>
      <c r="E491">
        <v>2008</v>
      </c>
      <c r="F491" t="s">
        <v>2479</v>
      </c>
      <c r="G491" s="6" t="s">
        <v>2480</v>
      </c>
      <c r="H491" t="s">
        <v>2481</v>
      </c>
      <c r="L491" t="s">
        <v>2482</v>
      </c>
      <c r="M491" t="s">
        <v>2483</v>
      </c>
      <c r="N491">
        <v>2008</v>
      </c>
      <c r="O491" s="1">
        <v>45783.300162037034</v>
      </c>
      <c r="P491" s="1">
        <v>45783.300162037034</v>
      </c>
      <c r="R491" t="s">
        <v>2484</v>
      </c>
      <c r="U491">
        <v>1</v>
      </c>
      <c r="AE491" t="s">
        <v>645</v>
      </c>
      <c r="AH491" t="s">
        <v>646</v>
      </c>
      <c r="AL491" t="s">
        <v>2485</v>
      </c>
      <c r="AP491" t="s">
        <v>2486</v>
      </c>
      <c r="BV491" t="s">
        <v>2487</v>
      </c>
    </row>
    <row r="492" spans="1:74" x14ac:dyDescent="0.2">
      <c r="A492" t="s">
        <v>6684</v>
      </c>
      <c r="B492" t="s">
        <v>6657</v>
      </c>
      <c r="C492" t="s">
        <v>2018</v>
      </c>
      <c r="D492" t="s">
        <v>102</v>
      </c>
      <c r="E492">
        <v>2021</v>
      </c>
      <c r="F492" t="s">
        <v>2019</v>
      </c>
      <c r="G492" s="6" t="s">
        <v>2020</v>
      </c>
      <c r="H492" t="s">
        <v>2021</v>
      </c>
      <c r="J492" t="s">
        <v>2022</v>
      </c>
      <c r="K492" t="s">
        <v>2023</v>
      </c>
      <c r="L492" t="s">
        <v>2024</v>
      </c>
      <c r="M492" t="s">
        <v>2025</v>
      </c>
      <c r="N492">
        <v>2021</v>
      </c>
      <c r="O492" s="1">
        <v>45783.300162037034</v>
      </c>
      <c r="P492" s="1">
        <v>45783.300162037034</v>
      </c>
      <c r="T492">
        <v>9</v>
      </c>
      <c r="U492">
        <v>5</v>
      </c>
      <c r="W492" t="s">
        <v>2026</v>
      </c>
      <c r="AE492" t="s">
        <v>645</v>
      </c>
      <c r="AH492" t="s">
        <v>646</v>
      </c>
      <c r="AL492" t="s">
        <v>1062</v>
      </c>
      <c r="AP492" t="s">
        <v>2027</v>
      </c>
    </row>
    <row r="493" spans="1:74" x14ac:dyDescent="0.2">
      <c r="A493" t="s">
        <v>6684</v>
      </c>
      <c r="B493" t="s">
        <v>6657</v>
      </c>
      <c r="C493" t="s">
        <v>2709</v>
      </c>
      <c r="D493" t="s">
        <v>477</v>
      </c>
      <c r="E493">
        <v>2019</v>
      </c>
      <c r="F493" t="s">
        <v>2710</v>
      </c>
      <c r="G493" s="6" t="s">
        <v>2711</v>
      </c>
      <c r="H493" t="s">
        <v>2712</v>
      </c>
      <c r="I493" t="s">
        <v>2713</v>
      </c>
      <c r="K493" t="s">
        <v>2714</v>
      </c>
      <c r="L493" t="s">
        <v>2715</v>
      </c>
      <c r="M493" t="s">
        <v>2716</v>
      </c>
      <c r="N493">
        <v>2019</v>
      </c>
      <c r="O493" s="1">
        <v>45783.300162037034</v>
      </c>
      <c r="P493" s="1">
        <v>45783.300162037034</v>
      </c>
      <c r="R493" t="s">
        <v>2717</v>
      </c>
      <c r="U493">
        <v>260</v>
      </c>
      <c r="AC493" t="s">
        <v>2718</v>
      </c>
      <c r="AE493" t="s">
        <v>645</v>
      </c>
      <c r="AH493" t="s">
        <v>646</v>
      </c>
      <c r="AL493" t="s">
        <v>2719</v>
      </c>
      <c r="AP493" t="s">
        <v>2720</v>
      </c>
      <c r="AR493" t="s">
        <v>2721</v>
      </c>
      <c r="BV493" t="s">
        <v>2722</v>
      </c>
    </row>
    <row r="494" spans="1:74" x14ac:dyDescent="0.2">
      <c r="A494" t="s">
        <v>6684</v>
      </c>
      <c r="B494" t="s">
        <v>7035</v>
      </c>
      <c r="C494" t="s">
        <v>1688</v>
      </c>
      <c r="D494" t="s">
        <v>102</v>
      </c>
      <c r="E494">
        <v>2020</v>
      </c>
      <c r="F494" t="s">
        <v>1689</v>
      </c>
      <c r="G494" s="6" t="s">
        <v>1690</v>
      </c>
      <c r="H494" t="s">
        <v>1691</v>
      </c>
      <c r="J494" t="s">
        <v>1692</v>
      </c>
      <c r="K494" t="s">
        <v>1693</v>
      </c>
      <c r="L494" t="s">
        <v>1694</v>
      </c>
      <c r="M494" t="s">
        <v>1695</v>
      </c>
      <c r="N494">
        <v>2020</v>
      </c>
      <c r="O494" s="1">
        <v>45783.300150462965</v>
      </c>
      <c r="P494" s="1">
        <v>45783.300150462965</v>
      </c>
      <c r="R494" t="s">
        <v>1696</v>
      </c>
      <c r="T494">
        <v>10</v>
      </c>
      <c r="U494">
        <v>34</v>
      </c>
      <c r="W494" t="s">
        <v>1697</v>
      </c>
      <c r="AE494" t="s">
        <v>645</v>
      </c>
      <c r="AH494" t="s">
        <v>646</v>
      </c>
      <c r="AL494" t="s">
        <v>1156</v>
      </c>
      <c r="AP494" t="s">
        <v>1698</v>
      </c>
    </row>
    <row r="495" spans="1:74" x14ac:dyDescent="0.2">
      <c r="A495" t="s">
        <v>6684</v>
      </c>
      <c r="B495" t="s">
        <v>7055</v>
      </c>
      <c r="C495" t="s">
        <v>4365</v>
      </c>
      <c r="D495" t="s">
        <v>477</v>
      </c>
      <c r="E495">
        <v>2018</v>
      </c>
      <c r="F495" t="s">
        <v>4366</v>
      </c>
      <c r="G495" s="6" t="s">
        <v>4367</v>
      </c>
      <c r="H495" t="s">
        <v>4368</v>
      </c>
      <c r="I495" t="s">
        <v>4369</v>
      </c>
      <c r="K495" t="s">
        <v>4370</v>
      </c>
      <c r="L495" t="s">
        <v>4371</v>
      </c>
      <c r="M495" t="s">
        <v>4372</v>
      </c>
      <c r="N495">
        <v>2018</v>
      </c>
      <c r="O495" s="1">
        <v>45783.306377314817</v>
      </c>
      <c r="P495" s="1">
        <v>45783.379571759258</v>
      </c>
      <c r="R495" t="s">
        <v>4373</v>
      </c>
      <c r="Y495" t="s">
        <v>4374</v>
      </c>
      <c r="AC495" t="s">
        <v>1167</v>
      </c>
      <c r="AD495" t="s">
        <v>3218</v>
      </c>
      <c r="AL495" t="s">
        <v>4375</v>
      </c>
      <c r="AP495" t="s">
        <v>4376</v>
      </c>
      <c r="BV495" t="s">
        <v>4377</v>
      </c>
    </row>
    <row r="496" spans="1:74" x14ac:dyDescent="0.2">
      <c r="A496" t="s">
        <v>6684</v>
      </c>
      <c r="B496" t="s">
        <v>7035</v>
      </c>
      <c r="C496" t="s">
        <v>353</v>
      </c>
      <c r="D496" t="s">
        <v>88</v>
      </c>
      <c r="E496">
        <v>2023</v>
      </c>
      <c r="F496" t="s">
        <v>354</v>
      </c>
      <c r="G496" s="6" t="s">
        <v>355</v>
      </c>
      <c r="H496" t="s">
        <v>356</v>
      </c>
      <c r="I496" t="s">
        <v>357</v>
      </c>
      <c r="L496" t="s">
        <v>358</v>
      </c>
      <c r="N496">
        <v>2023</v>
      </c>
      <c r="O496" s="1">
        <v>45783.293310185189</v>
      </c>
      <c r="P496" s="1">
        <v>45783.293310185189</v>
      </c>
      <c r="Q496" s="1">
        <v>45783.293310185189</v>
      </c>
      <c r="R496" t="s">
        <v>359</v>
      </c>
      <c r="U496">
        <v>1836</v>
      </c>
      <c r="X496" t="s">
        <v>360</v>
      </c>
      <c r="AC496" t="s">
        <v>95</v>
      </c>
      <c r="AD496" t="s">
        <v>96</v>
      </c>
      <c r="AE496" t="s">
        <v>97</v>
      </c>
      <c r="AJ496" t="s">
        <v>98</v>
      </c>
      <c r="AL496" t="s">
        <v>361</v>
      </c>
      <c r="AR496" t="s">
        <v>129</v>
      </c>
    </row>
    <row r="497" spans="1:74" x14ac:dyDescent="0.2">
      <c r="A497" t="s">
        <v>6684</v>
      </c>
      <c r="B497" t="s">
        <v>7035</v>
      </c>
      <c r="C497" t="s">
        <v>5792</v>
      </c>
      <c r="D497" t="s">
        <v>477</v>
      </c>
      <c r="E497">
        <v>2022</v>
      </c>
      <c r="F497" t="s">
        <v>5793</v>
      </c>
      <c r="G497" s="6" t="s">
        <v>5794</v>
      </c>
      <c r="H497" t="s">
        <v>5645</v>
      </c>
      <c r="I497" t="s">
        <v>5646</v>
      </c>
      <c r="K497" t="s">
        <v>5795</v>
      </c>
      <c r="L497" t="s">
        <v>5796</v>
      </c>
      <c r="N497" t="s">
        <v>5649</v>
      </c>
      <c r="O497" s="1">
        <v>45783.311921296299</v>
      </c>
      <c r="P497" s="1">
        <v>45783.311921296299</v>
      </c>
      <c r="Q497" s="1">
        <v>45783.311921296299</v>
      </c>
      <c r="R497" t="s">
        <v>5797</v>
      </c>
      <c r="X497" t="s">
        <v>5798</v>
      </c>
      <c r="AC497" t="s">
        <v>5107</v>
      </c>
      <c r="AD497" t="s">
        <v>5651</v>
      </c>
      <c r="AF497" t="s">
        <v>5109</v>
      </c>
      <c r="AJ497" t="s">
        <v>98</v>
      </c>
      <c r="BV497" t="s">
        <v>5645</v>
      </c>
    </row>
    <row r="498" spans="1:74" x14ac:dyDescent="0.2">
      <c r="A498" t="s">
        <v>7034</v>
      </c>
      <c r="B498" t="s">
        <v>7045</v>
      </c>
      <c r="C498" t="s">
        <v>3550</v>
      </c>
      <c r="D498" t="s">
        <v>477</v>
      </c>
      <c r="E498">
        <v>2018</v>
      </c>
      <c r="F498" t="s">
        <v>3551</v>
      </c>
      <c r="G498" s="6" t="s">
        <v>3552</v>
      </c>
      <c r="H498" t="s">
        <v>3553</v>
      </c>
      <c r="I498" t="s">
        <v>3554</v>
      </c>
      <c r="K498" t="s">
        <v>3555</v>
      </c>
      <c r="L498" t="s">
        <v>3556</v>
      </c>
      <c r="M498" t="s">
        <v>3557</v>
      </c>
      <c r="N498">
        <v>2018</v>
      </c>
      <c r="O498" s="1">
        <v>45783.293657407405</v>
      </c>
      <c r="P498" s="1">
        <v>45784.352511574078</v>
      </c>
      <c r="R498" t="s">
        <v>3558</v>
      </c>
      <c r="U498">
        <v>10910</v>
      </c>
      <c r="AC498" t="s">
        <v>3194</v>
      </c>
      <c r="AD498" t="s">
        <v>589</v>
      </c>
      <c r="AL498" t="s">
        <v>3559</v>
      </c>
      <c r="AP498" t="s">
        <v>3560</v>
      </c>
    </row>
    <row r="499" spans="1:74" x14ac:dyDescent="0.2">
      <c r="A499" t="s">
        <v>6684</v>
      </c>
      <c r="B499" t="s">
        <v>7035</v>
      </c>
      <c r="C499" t="s">
        <v>2274</v>
      </c>
      <c r="D499" t="s">
        <v>102</v>
      </c>
      <c r="E499">
        <v>2016</v>
      </c>
      <c r="F499" t="s">
        <v>2275</v>
      </c>
      <c r="G499" s="6" t="s">
        <v>2276</v>
      </c>
      <c r="H499" t="s">
        <v>2277</v>
      </c>
      <c r="J499" t="s">
        <v>2278</v>
      </c>
      <c r="K499" t="s">
        <v>2279</v>
      </c>
      <c r="L499" t="s">
        <v>2280</v>
      </c>
      <c r="M499" t="s">
        <v>2281</v>
      </c>
      <c r="N499">
        <v>2016</v>
      </c>
      <c r="O499" s="1">
        <v>45783.300162037034</v>
      </c>
      <c r="P499" s="1">
        <v>45783.300162037034</v>
      </c>
      <c r="R499" s="4">
        <v>45231</v>
      </c>
      <c r="U499">
        <v>76</v>
      </c>
      <c r="W499" t="s">
        <v>2282</v>
      </c>
      <c r="AE499" t="s">
        <v>645</v>
      </c>
      <c r="AH499" t="s">
        <v>646</v>
      </c>
      <c r="AL499" t="s">
        <v>2283</v>
      </c>
      <c r="AP499" t="s">
        <v>2284</v>
      </c>
    </row>
    <row r="500" spans="1:74" x14ac:dyDescent="0.2">
      <c r="A500" t="s">
        <v>7034</v>
      </c>
      <c r="B500" t="s">
        <v>6660</v>
      </c>
      <c r="C500" t="s">
        <v>5511</v>
      </c>
      <c r="D500" t="s">
        <v>477</v>
      </c>
      <c r="E500">
        <v>2024</v>
      </c>
      <c r="F500" t="s">
        <v>5512</v>
      </c>
      <c r="G500" s="6" t="s">
        <v>5513</v>
      </c>
      <c r="H500" t="s">
        <v>5514</v>
      </c>
      <c r="I500" t="s">
        <v>5515</v>
      </c>
      <c r="K500" t="s">
        <v>5516</v>
      </c>
      <c r="L500" t="s">
        <v>5517</v>
      </c>
      <c r="N500" s="2">
        <v>45475</v>
      </c>
      <c r="O500" s="1">
        <v>45783.311527777776</v>
      </c>
      <c r="P500" s="1">
        <v>45783.311527777776</v>
      </c>
      <c r="Q500" s="1">
        <v>45783.311527777776</v>
      </c>
      <c r="R500" t="s">
        <v>5518</v>
      </c>
      <c r="AC500" t="s">
        <v>5107</v>
      </c>
      <c r="AD500" t="s">
        <v>5519</v>
      </c>
      <c r="AF500" t="s">
        <v>5109</v>
      </c>
      <c r="AJ500" t="s">
        <v>98</v>
      </c>
      <c r="BV500" t="s">
        <v>5514</v>
      </c>
    </row>
    <row r="501" spans="1:74" x14ac:dyDescent="0.2">
      <c r="A501" t="s">
        <v>6684</v>
      </c>
      <c r="B501" t="s">
        <v>6657</v>
      </c>
      <c r="C501" t="s">
        <v>4671</v>
      </c>
      <c r="D501" t="s">
        <v>477</v>
      </c>
      <c r="E501">
        <v>2023</v>
      </c>
      <c r="F501" t="s">
        <v>4672</v>
      </c>
      <c r="G501" s="6" t="s">
        <v>4673</v>
      </c>
      <c r="H501" t="s">
        <v>4674</v>
      </c>
      <c r="I501" t="s">
        <v>4675</v>
      </c>
      <c r="K501" t="s">
        <v>4676</v>
      </c>
      <c r="L501" t="s">
        <v>4677</v>
      </c>
      <c r="M501" t="s">
        <v>4678</v>
      </c>
      <c r="N501">
        <v>2023</v>
      </c>
      <c r="O501" s="1">
        <v>45783.306377314817</v>
      </c>
      <c r="P501" s="1">
        <v>45783.478784722225</v>
      </c>
      <c r="R501" t="s">
        <v>4679</v>
      </c>
      <c r="U501" t="s">
        <v>4680</v>
      </c>
      <c r="AC501" t="s">
        <v>3194</v>
      </c>
      <c r="AD501" t="s">
        <v>589</v>
      </c>
      <c r="AE501" t="s">
        <v>645</v>
      </c>
      <c r="AL501" t="s">
        <v>3206</v>
      </c>
      <c r="AP501" t="s">
        <v>4681</v>
      </c>
    </row>
    <row r="502" spans="1:74" x14ac:dyDescent="0.2">
      <c r="A502" t="s">
        <v>6684</v>
      </c>
      <c r="B502" t="s">
        <v>6657</v>
      </c>
      <c r="C502" t="s">
        <v>6552</v>
      </c>
      <c r="D502" t="s">
        <v>477</v>
      </c>
      <c r="E502">
        <v>2010</v>
      </c>
      <c r="F502" t="s">
        <v>6553</v>
      </c>
      <c r="G502" s="6" t="s">
        <v>6554</v>
      </c>
      <c r="H502" t="s">
        <v>6555</v>
      </c>
      <c r="I502" t="s">
        <v>6556</v>
      </c>
      <c r="K502" t="s">
        <v>6557</v>
      </c>
      <c r="L502" t="s">
        <v>6558</v>
      </c>
      <c r="N502" t="s">
        <v>6559</v>
      </c>
      <c r="O502" s="1">
        <v>45783.313750000001</v>
      </c>
      <c r="P502" s="1">
        <v>45783.456377314818</v>
      </c>
      <c r="Q502" s="1">
        <v>45783.313750000001</v>
      </c>
      <c r="R502" t="s">
        <v>6560</v>
      </c>
      <c r="AC502" t="s">
        <v>5107</v>
      </c>
      <c r="AD502" t="s">
        <v>6131</v>
      </c>
      <c r="AJ502" t="s">
        <v>98</v>
      </c>
      <c r="AP502" t="s">
        <v>6561</v>
      </c>
      <c r="BV502" t="s">
        <v>6562</v>
      </c>
    </row>
    <row r="503" spans="1:74" x14ac:dyDescent="0.2">
      <c r="A503" t="s">
        <v>6684</v>
      </c>
      <c r="B503" t="s">
        <v>6653</v>
      </c>
      <c r="C503" t="s">
        <v>5309</v>
      </c>
      <c r="D503" t="s">
        <v>477</v>
      </c>
      <c r="E503">
        <v>2021</v>
      </c>
      <c r="F503" t="s">
        <v>5310</v>
      </c>
      <c r="G503" s="6" t="s">
        <v>5311</v>
      </c>
      <c r="H503" t="s">
        <v>5312</v>
      </c>
      <c r="I503" t="s">
        <v>5313</v>
      </c>
      <c r="K503" t="s">
        <v>5314</v>
      </c>
      <c r="L503" t="s">
        <v>5315</v>
      </c>
      <c r="N503" s="2">
        <v>44332</v>
      </c>
      <c r="O503" s="1">
        <v>45783.311296296299</v>
      </c>
      <c r="P503" s="1">
        <v>45783.311296296299</v>
      </c>
      <c r="Q503" s="1">
        <v>45783.311296296299</v>
      </c>
      <c r="R503" s="3">
        <v>45809</v>
      </c>
      <c r="AC503" t="s">
        <v>5107</v>
      </c>
      <c r="AD503" t="s">
        <v>5316</v>
      </c>
      <c r="AF503" t="s">
        <v>5140</v>
      </c>
      <c r="AJ503" t="s">
        <v>98</v>
      </c>
      <c r="BV503" t="s">
        <v>5312</v>
      </c>
    </row>
    <row r="504" spans="1:74" x14ac:dyDescent="0.2">
      <c r="A504" t="s">
        <v>6684</v>
      </c>
      <c r="B504" t="s">
        <v>7036</v>
      </c>
      <c r="C504" t="s">
        <v>559</v>
      </c>
      <c r="D504" t="s">
        <v>102</v>
      </c>
      <c r="E504">
        <v>2014</v>
      </c>
      <c r="F504" t="s">
        <v>560</v>
      </c>
      <c r="G504" s="6" t="s">
        <v>561</v>
      </c>
      <c r="H504" t="s">
        <v>133</v>
      </c>
      <c r="J504" t="s">
        <v>134</v>
      </c>
      <c r="K504" t="s">
        <v>562</v>
      </c>
      <c r="L504" t="s">
        <v>563</v>
      </c>
      <c r="M504" t="s">
        <v>564</v>
      </c>
      <c r="N504" t="s">
        <v>565</v>
      </c>
      <c r="O504" s="1">
        <v>45783.293726851851</v>
      </c>
      <c r="P504" s="1">
        <v>45783.293726851851</v>
      </c>
      <c r="Q504" s="1">
        <v>45783.293726851851</v>
      </c>
      <c r="R504">
        <v>32</v>
      </c>
      <c r="T504">
        <v>1</v>
      </c>
      <c r="U504">
        <v>11</v>
      </c>
      <c r="W504" t="s">
        <v>138</v>
      </c>
      <c r="X504" t="s">
        <v>566</v>
      </c>
      <c r="AE504" t="s">
        <v>97</v>
      </c>
      <c r="AJ504" t="s">
        <v>98</v>
      </c>
      <c r="AN504" t="s">
        <v>567</v>
      </c>
    </row>
    <row r="505" spans="1:74" x14ac:dyDescent="0.2">
      <c r="A505" t="s">
        <v>6684</v>
      </c>
      <c r="B505" t="s">
        <v>6657</v>
      </c>
      <c r="C505" t="s">
        <v>2351</v>
      </c>
      <c r="D505" t="s">
        <v>477</v>
      </c>
      <c r="E505">
        <v>2016</v>
      </c>
      <c r="F505" t="s">
        <v>2352</v>
      </c>
      <c r="G505" s="6" t="s">
        <v>2353</v>
      </c>
      <c r="H505" t="s">
        <v>1185</v>
      </c>
      <c r="I505" t="s">
        <v>2354</v>
      </c>
      <c r="K505" t="s">
        <v>2355</v>
      </c>
      <c r="L505" t="s">
        <v>2356</v>
      </c>
      <c r="M505" t="s">
        <v>2357</v>
      </c>
      <c r="N505">
        <v>2016</v>
      </c>
      <c r="O505" s="1">
        <v>45783.300162037034</v>
      </c>
      <c r="P505" s="1">
        <v>45783.300162037034</v>
      </c>
      <c r="R505" t="s">
        <v>2358</v>
      </c>
      <c r="U505">
        <v>9749</v>
      </c>
      <c r="AC505" t="s">
        <v>2306</v>
      </c>
      <c r="AE505" t="s">
        <v>645</v>
      </c>
      <c r="AH505" t="s">
        <v>646</v>
      </c>
      <c r="AL505" t="s">
        <v>1191</v>
      </c>
      <c r="AP505" t="s">
        <v>2359</v>
      </c>
      <c r="AR505" t="s">
        <v>2360</v>
      </c>
      <c r="BV505" t="s">
        <v>1194</v>
      </c>
    </row>
    <row r="506" spans="1:74" x14ac:dyDescent="0.2">
      <c r="A506" t="s">
        <v>6684</v>
      </c>
      <c r="B506" t="s">
        <v>6685</v>
      </c>
      <c r="C506" t="s">
        <v>1311</v>
      </c>
      <c r="D506" t="s">
        <v>102</v>
      </c>
      <c r="E506">
        <v>2023</v>
      </c>
      <c r="F506" t="s">
        <v>1312</v>
      </c>
      <c r="G506" s="6" t="s">
        <v>1313</v>
      </c>
      <c r="H506" t="s">
        <v>1314</v>
      </c>
      <c r="J506" t="s">
        <v>1315</v>
      </c>
      <c r="K506" t="s">
        <v>1316</v>
      </c>
      <c r="L506" t="s">
        <v>1317</v>
      </c>
      <c r="M506" t="s">
        <v>1318</v>
      </c>
      <c r="N506">
        <v>2023</v>
      </c>
      <c r="O506" s="1">
        <v>45783.300150462965</v>
      </c>
      <c r="P506" s="1">
        <v>45783.300150462965</v>
      </c>
      <c r="T506">
        <v>19</v>
      </c>
      <c r="U506">
        <v>12</v>
      </c>
      <c r="W506" t="s">
        <v>1314</v>
      </c>
      <c r="AE506" t="s">
        <v>645</v>
      </c>
      <c r="AH506" t="s">
        <v>646</v>
      </c>
      <c r="AL506" t="s">
        <v>826</v>
      </c>
      <c r="AP506" t="s">
        <v>1319</v>
      </c>
    </row>
    <row r="507" spans="1:74" x14ac:dyDescent="0.2">
      <c r="A507" t="s">
        <v>6684</v>
      </c>
      <c r="B507" t="s">
        <v>7035</v>
      </c>
      <c r="C507" t="s">
        <v>5775</v>
      </c>
      <c r="D507" t="s">
        <v>102</v>
      </c>
      <c r="E507">
        <v>2025</v>
      </c>
      <c r="F507" t="s">
        <v>5776</v>
      </c>
      <c r="G507" s="6" t="s">
        <v>5777</v>
      </c>
      <c r="H507" t="s">
        <v>5778</v>
      </c>
      <c r="J507" t="s">
        <v>5779</v>
      </c>
      <c r="K507" t="s">
        <v>5780</v>
      </c>
      <c r="L507" t="s">
        <v>5781</v>
      </c>
      <c r="N507">
        <v>2025</v>
      </c>
      <c r="O507" s="1">
        <v>45783.30636574074</v>
      </c>
      <c r="P507" s="1">
        <v>45783.446944444448</v>
      </c>
      <c r="Q507" s="1">
        <v>45783.311898148146</v>
      </c>
      <c r="R507" t="s">
        <v>5782</v>
      </c>
      <c r="U507">
        <v>18</v>
      </c>
      <c r="W507" t="s">
        <v>5783</v>
      </c>
      <c r="AF507" t="s">
        <v>5140</v>
      </c>
      <c r="AJ507" t="s">
        <v>98</v>
      </c>
    </row>
    <row r="508" spans="1:74" x14ac:dyDescent="0.2">
      <c r="A508" t="s">
        <v>7034</v>
      </c>
      <c r="B508" t="s">
        <v>7047</v>
      </c>
      <c r="C508" t="s">
        <v>325</v>
      </c>
      <c r="D508" t="s">
        <v>102</v>
      </c>
      <c r="E508">
        <v>2022</v>
      </c>
      <c r="F508" t="s">
        <v>326</v>
      </c>
      <c r="G508" s="6" t="s">
        <v>327</v>
      </c>
      <c r="H508" t="s">
        <v>328</v>
      </c>
      <c r="J508" t="s">
        <v>329</v>
      </c>
      <c r="K508" t="s">
        <v>330</v>
      </c>
      <c r="L508" t="s">
        <v>331</v>
      </c>
      <c r="M508" t="s">
        <v>332</v>
      </c>
      <c r="N508" s="2">
        <v>44893</v>
      </c>
      <c r="O508" s="1">
        <v>45783.293275462966</v>
      </c>
      <c r="P508" s="1">
        <v>45783.293275462966</v>
      </c>
      <c r="Q508" s="1">
        <v>45783.293275462966</v>
      </c>
      <c r="R508" t="s">
        <v>333</v>
      </c>
      <c r="T508" s="3">
        <v>45750</v>
      </c>
      <c r="U508">
        <v>2</v>
      </c>
      <c r="W508" t="s">
        <v>334</v>
      </c>
      <c r="AE508" t="s">
        <v>97</v>
      </c>
      <c r="AJ508" t="s">
        <v>98</v>
      </c>
      <c r="AN508" t="s">
        <v>335</v>
      </c>
    </row>
    <row r="509" spans="1:74" x14ac:dyDescent="0.2">
      <c r="A509" t="s">
        <v>6684</v>
      </c>
      <c r="B509" t="s">
        <v>6657</v>
      </c>
      <c r="C509" t="s">
        <v>6628</v>
      </c>
      <c r="D509" t="s">
        <v>477</v>
      </c>
      <c r="E509">
        <v>2022</v>
      </c>
      <c r="F509" t="s">
        <v>6629</v>
      </c>
      <c r="G509" s="6" t="s">
        <v>6630</v>
      </c>
      <c r="H509" t="s">
        <v>6631</v>
      </c>
      <c r="I509" t="s">
        <v>6632</v>
      </c>
      <c r="K509" t="s">
        <v>6633</v>
      </c>
      <c r="L509" t="s">
        <v>6634</v>
      </c>
      <c r="N509" s="2">
        <v>44918</v>
      </c>
      <c r="O509" s="1">
        <v>45783.313923611109</v>
      </c>
      <c r="P509" s="1">
        <v>45783.471863425926</v>
      </c>
      <c r="Q509" s="1">
        <v>45783.313923611109</v>
      </c>
      <c r="R509" s="3">
        <v>45809</v>
      </c>
      <c r="X509" t="s">
        <v>6635</v>
      </c>
      <c r="AC509" t="s">
        <v>5107</v>
      </c>
      <c r="AD509" t="s">
        <v>6636</v>
      </c>
      <c r="AF509" t="s">
        <v>6637</v>
      </c>
      <c r="AJ509" t="s">
        <v>98</v>
      </c>
      <c r="AN509" t="s">
        <v>6638</v>
      </c>
      <c r="AP509" t="s">
        <v>6639</v>
      </c>
      <c r="BV509" t="s">
        <v>6631</v>
      </c>
    </row>
    <row r="510" spans="1:74" x14ac:dyDescent="0.2">
      <c r="A510" t="s">
        <v>6684</v>
      </c>
      <c r="B510" t="s">
        <v>6657</v>
      </c>
      <c r="C510" t="s">
        <v>2087</v>
      </c>
      <c r="D510" t="s">
        <v>102</v>
      </c>
      <c r="E510">
        <v>2021</v>
      </c>
      <c r="F510" t="s">
        <v>2088</v>
      </c>
      <c r="G510" s="6" t="s">
        <v>2089</v>
      </c>
      <c r="H510" t="s">
        <v>2090</v>
      </c>
      <c r="J510" t="s">
        <v>2091</v>
      </c>
      <c r="K510" t="s">
        <v>2092</v>
      </c>
      <c r="L510" t="s">
        <v>2093</v>
      </c>
      <c r="M510" t="s">
        <v>2094</v>
      </c>
      <c r="N510">
        <v>2021</v>
      </c>
      <c r="O510" s="1">
        <v>45783.300162037034</v>
      </c>
      <c r="P510" s="1">
        <v>45783.300162037034</v>
      </c>
      <c r="T510">
        <v>2</v>
      </c>
      <c r="U510">
        <v>9</v>
      </c>
      <c r="W510" t="s">
        <v>2095</v>
      </c>
      <c r="AE510" t="s">
        <v>645</v>
      </c>
      <c r="AH510" t="s">
        <v>646</v>
      </c>
      <c r="AL510" t="s">
        <v>1471</v>
      </c>
      <c r="AP510" t="s">
        <v>2096</v>
      </c>
    </row>
    <row r="511" spans="1:74" x14ac:dyDescent="0.2">
      <c r="A511" t="s">
        <v>6684</v>
      </c>
      <c r="B511" t="s">
        <v>6657</v>
      </c>
      <c r="C511" t="s">
        <v>2701</v>
      </c>
      <c r="D511" t="s">
        <v>102</v>
      </c>
      <c r="E511">
        <v>2008</v>
      </c>
      <c r="F511" t="s">
        <v>2702</v>
      </c>
      <c r="G511" s="6" t="s">
        <v>2703</v>
      </c>
      <c r="H511" t="s">
        <v>2704</v>
      </c>
      <c r="J511" t="s">
        <v>2705</v>
      </c>
      <c r="L511" t="s">
        <v>2706</v>
      </c>
      <c r="M511" t="s">
        <v>2707</v>
      </c>
      <c r="N511">
        <v>2008</v>
      </c>
      <c r="O511" s="1">
        <v>45783.300162037034</v>
      </c>
      <c r="P511" s="1">
        <v>45783.300162037034</v>
      </c>
      <c r="R511" s="4">
        <v>43435</v>
      </c>
      <c r="T511">
        <v>1</v>
      </c>
      <c r="U511">
        <v>74</v>
      </c>
      <c r="W511" t="s">
        <v>2708</v>
      </c>
      <c r="AE511" t="s">
        <v>645</v>
      </c>
      <c r="AH511" t="s">
        <v>646</v>
      </c>
    </row>
    <row r="512" spans="1:74" x14ac:dyDescent="0.2">
      <c r="A512" t="s">
        <v>6684</v>
      </c>
      <c r="B512" t="s">
        <v>6657</v>
      </c>
      <c r="C512" t="s">
        <v>1507</v>
      </c>
      <c r="D512" t="s">
        <v>102</v>
      </c>
      <c r="E512">
        <v>2021</v>
      </c>
      <c r="F512" t="s">
        <v>1508</v>
      </c>
      <c r="G512" s="6" t="s">
        <v>1509</v>
      </c>
      <c r="H512" t="s">
        <v>1510</v>
      </c>
      <c r="J512" t="s">
        <v>1511</v>
      </c>
      <c r="K512" t="s">
        <v>1512</v>
      </c>
      <c r="L512" t="s">
        <v>1513</v>
      </c>
      <c r="M512" t="s">
        <v>1514</v>
      </c>
      <c r="N512">
        <v>2021</v>
      </c>
      <c r="O512" s="1">
        <v>45783.300150462965</v>
      </c>
      <c r="P512" s="1">
        <v>45783.300150462965</v>
      </c>
      <c r="U512">
        <v>15</v>
      </c>
      <c r="W512" t="s">
        <v>1515</v>
      </c>
      <c r="AE512" t="s">
        <v>645</v>
      </c>
      <c r="AH512" t="s">
        <v>646</v>
      </c>
      <c r="AL512" t="s">
        <v>1516</v>
      </c>
      <c r="AP512" t="s">
        <v>1517</v>
      </c>
    </row>
    <row r="513" spans="1:74" x14ac:dyDescent="0.2">
      <c r="A513" t="s">
        <v>6684</v>
      </c>
      <c r="B513" t="s">
        <v>7035</v>
      </c>
      <c r="C513" t="s">
        <v>399</v>
      </c>
      <c r="D513" t="s">
        <v>88</v>
      </c>
      <c r="E513">
        <v>2024</v>
      </c>
      <c r="F513" t="s">
        <v>400</v>
      </c>
      <c r="G513" s="6" t="s">
        <v>401</v>
      </c>
      <c r="H513" t="s">
        <v>402</v>
      </c>
      <c r="I513" t="s">
        <v>403</v>
      </c>
      <c r="L513" t="s">
        <v>404</v>
      </c>
      <c r="N513">
        <v>2024</v>
      </c>
      <c r="O513" s="1">
        <v>45783.293356481481</v>
      </c>
      <c r="P513" s="1">
        <v>45783.293356481481</v>
      </c>
      <c r="Q513" s="1">
        <v>45783.293356481481</v>
      </c>
      <c r="R513" t="s">
        <v>405</v>
      </c>
      <c r="U513">
        <v>729</v>
      </c>
      <c r="AC513" t="s">
        <v>95</v>
      </c>
      <c r="AD513" t="s">
        <v>96</v>
      </c>
      <c r="AE513" t="s">
        <v>97</v>
      </c>
      <c r="AJ513" t="s">
        <v>98</v>
      </c>
      <c r="AL513" t="s">
        <v>406</v>
      </c>
      <c r="AR513" t="s">
        <v>407</v>
      </c>
    </row>
    <row r="514" spans="1:74" x14ac:dyDescent="0.2">
      <c r="A514" t="s">
        <v>6684</v>
      </c>
      <c r="B514" t="s">
        <v>7035</v>
      </c>
      <c r="C514" t="s">
        <v>3639</v>
      </c>
      <c r="D514" t="s">
        <v>102</v>
      </c>
      <c r="E514">
        <v>2019</v>
      </c>
      <c r="F514" t="s">
        <v>3640</v>
      </c>
      <c r="G514" s="6" t="s">
        <v>3641</v>
      </c>
      <c r="H514" t="s">
        <v>3642</v>
      </c>
      <c r="J514" t="s">
        <v>3643</v>
      </c>
      <c r="K514" t="s">
        <v>3644</v>
      </c>
      <c r="L514" t="s">
        <v>3645</v>
      </c>
      <c r="N514" t="s">
        <v>3646</v>
      </c>
      <c r="O514" s="1">
        <v>45783.30636574074</v>
      </c>
      <c r="P514" s="1">
        <v>45783.30636574074</v>
      </c>
      <c r="R514" t="s">
        <v>3647</v>
      </c>
      <c r="T514" t="s">
        <v>3283</v>
      </c>
      <c r="U514">
        <v>94</v>
      </c>
      <c r="AL514" t="s">
        <v>3648</v>
      </c>
      <c r="AP514" t="s">
        <v>3649</v>
      </c>
    </row>
    <row r="515" spans="1:74" x14ac:dyDescent="0.2">
      <c r="A515" t="s">
        <v>7033</v>
      </c>
      <c r="B515" t="s">
        <v>7041</v>
      </c>
      <c r="C515" t="s">
        <v>3340</v>
      </c>
      <c r="D515" t="s">
        <v>102</v>
      </c>
      <c r="E515">
        <v>2021</v>
      </c>
      <c r="F515" t="s">
        <v>3341</v>
      </c>
      <c r="G515" s="6" t="s">
        <v>3342</v>
      </c>
      <c r="H515" t="s">
        <v>3343</v>
      </c>
      <c r="J515" t="s">
        <v>3344</v>
      </c>
      <c r="K515" t="s">
        <v>3345</v>
      </c>
      <c r="L515" t="s">
        <v>3346</v>
      </c>
      <c r="M515" t="s">
        <v>3347</v>
      </c>
      <c r="N515" t="s">
        <v>3348</v>
      </c>
      <c r="O515" s="1">
        <v>45783.30636574074</v>
      </c>
      <c r="P515" s="1">
        <v>45783.30636574074</v>
      </c>
      <c r="R515" t="s">
        <v>3349</v>
      </c>
      <c r="T515">
        <v>4</v>
      </c>
      <c r="U515">
        <v>19</v>
      </c>
      <c r="AL515" t="s">
        <v>3350</v>
      </c>
      <c r="AP515" t="s">
        <v>3351</v>
      </c>
    </row>
    <row r="516" spans="1:74" x14ac:dyDescent="0.2">
      <c r="A516" t="s">
        <v>6684</v>
      </c>
      <c r="B516" t="s">
        <v>7035</v>
      </c>
      <c r="C516" t="s">
        <v>1106</v>
      </c>
      <c r="D516" t="s">
        <v>477</v>
      </c>
      <c r="E516">
        <v>2023</v>
      </c>
      <c r="F516" t="s">
        <v>1107</v>
      </c>
      <c r="G516" s="6" t="s">
        <v>1108</v>
      </c>
      <c r="H516" t="s">
        <v>1109</v>
      </c>
      <c r="I516" t="s">
        <v>1110</v>
      </c>
      <c r="K516" t="s">
        <v>1111</v>
      </c>
      <c r="L516" t="s">
        <v>1112</v>
      </c>
      <c r="M516" t="s">
        <v>1113</v>
      </c>
      <c r="N516">
        <v>2023</v>
      </c>
      <c r="O516" s="1">
        <v>45783.300150462965</v>
      </c>
      <c r="P516" s="1">
        <v>45783.300150462965</v>
      </c>
      <c r="R516" t="s">
        <v>1114</v>
      </c>
      <c r="AC516" t="s">
        <v>681</v>
      </c>
      <c r="AE516" t="s">
        <v>645</v>
      </c>
      <c r="AH516" t="s">
        <v>646</v>
      </c>
      <c r="AL516" t="s">
        <v>1115</v>
      </c>
      <c r="AP516" t="s">
        <v>1116</v>
      </c>
      <c r="AR516" t="s">
        <v>1117</v>
      </c>
      <c r="BV516" t="s">
        <v>1118</v>
      </c>
    </row>
    <row r="517" spans="1:74" x14ac:dyDescent="0.2">
      <c r="A517" t="s">
        <v>6684</v>
      </c>
      <c r="B517" t="s">
        <v>6657</v>
      </c>
      <c r="C517" t="s">
        <v>1886</v>
      </c>
      <c r="D517" t="s">
        <v>477</v>
      </c>
      <c r="E517">
        <v>2021</v>
      </c>
      <c r="F517" t="s">
        <v>1887</v>
      </c>
      <c r="G517" s="6" t="s">
        <v>1888</v>
      </c>
      <c r="H517" t="s">
        <v>1889</v>
      </c>
      <c r="I517" t="s">
        <v>1890</v>
      </c>
      <c r="K517" t="s">
        <v>1891</v>
      </c>
      <c r="L517" t="s">
        <v>1892</v>
      </c>
      <c r="M517" t="s">
        <v>1893</v>
      </c>
      <c r="N517">
        <v>2021</v>
      </c>
      <c r="O517" s="1">
        <v>45783.300162037034</v>
      </c>
      <c r="P517" s="1">
        <v>45783.300162037034</v>
      </c>
      <c r="R517" t="s">
        <v>1894</v>
      </c>
      <c r="AC517" t="s">
        <v>1895</v>
      </c>
      <c r="AE517" t="s">
        <v>645</v>
      </c>
      <c r="AH517" t="s">
        <v>646</v>
      </c>
      <c r="AL517" t="s">
        <v>1896</v>
      </c>
      <c r="AP517" t="s">
        <v>1897</v>
      </c>
      <c r="BV517" t="s">
        <v>1898</v>
      </c>
    </row>
    <row r="518" spans="1:74" x14ac:dyDescent="0.2">
      <c r="A518" t="s">
        <v>6684</v>
      </c>
      <c r="B518" t="s">
        <v>6685</v>
      </c>
      <c r="C518" t="s">
        <v>2524</v>
      </c>
      <c r="D518" t="s">
        <v>477</v>
      </c>
      <c r="E518">
        <v>2015</v>
      </c>
      <c r="F518" t="s">
        <v>2525</v>
      </c>
      <c r="G518" s="6" t="s">
        <v>2526</v>
      </c>
      <c r="H518" t="s">
        <v>2454</v>
      </c>
      <c r="I518" t="s">
        <v>2527</v>
      </c>
      <c r="K518" t="s">
        <v>2528</v>
      </c>
      <c r="L518" t="s">
        <v>2529</v>
      </c>
      <c r="M518" t="s">
        <v>2530</v>
      </c>
      <c r="N518">
        <v>2015</v>
      </c>
      <c r="O518" s="1">
        <v>45783.300162037034</v>
      </c>
      <c r="P518" s="1">
        <v>45783.300162037034</v>
      </c>
      <c r="U518">
        <v>9495</v>
      </c>
      <c r="AC518" t="s">
        <v>2531</v>
      </c>
      <c r="AE518" t="s">
        <v>645</v>
      </c>
      <c r="AH518" t="s">
        <v>646</v>
      </c>
      <c r="AL518" t="s">
        <v>2459</v>
      </c>
      <c r="AP518" t="s">
        <v>2532</v>
      </c>
      <c r="AR518" t="s">
        <v>2533</v>
      </c>
      <c r="BV518" t="s">
        <v>2461</v>
      </c>
    </row>
    <row r="519" spans="1:74" x14ac:dyDescent="0.2">
      <c r="A519" t="s">
        <v>6684</v>
      </c>
      <c r="B519" t="s">
        <v>7035</v>
      </c>
      <c r="C519" t="s">
        <v>4343</v>
      </c>
      <c r="D519" t="s">
        <v>477</v>
      </c>
      <c r="E519">
        <v>2017</v>
      </c>
      <c r="F519" t="s">
        <v>4344</v>
      </c>
      <c r="G519" s="6" t="s">
        <v>4345</v>
      </c>
      <c r="H519" t="s">
        <v>4346</v>
      </c>
      <c r="I519" t="s">
        <v>4347</v>
      </c>
      <c r="K519" t="s">
        <v>4348</v>
      </c>
      <c r="L519" t="s">
        <v>4349</v>
      </c>
      <c r="M519" t="s">
        <v>4350</v>
      </c>
      <c r="N519">
        <v>2017</v>
      </c>
      <c r="O519" s="1">
        <v>45783.306377314817</v>
      </c>
      <c r="P519" s="1">
        <v>45783.306377314817</v>
      </c>
      <c r="R519" t="s">
        <v>4351</v>
      </c>
      <c r="AC519" t="s">
        <v>3194</v>
      </c>
      <c r="AD519" t="s">
        <v>589</v>
      </c>
      <c r="AL519" t="s">
        <v>4352</v>
      </c>
      <c r="AP519" t="s">
        <v>4353</v>
      </c>
    </row>
    <row r="520" spans="1:74" x14ac:dyDescent="0.2">
      <c r="A520" t="s">
        <v>6684</v>
      </c>
      <c r="B520" t="s">
        <v>7035</v>
      </c>
      <c r="C520" t="s">
        <v>2760</v>
      </c>
      <c r="D520" t="s">
        <v>102</v>
      </c>
      <c r="E520">
        <v>2019</v>
      </c>
      <c r="F520" t="s">
        <v>2761</v>
      </c>
      <c r="G520" s="6" t="s">
        <v>2762</v>
      </c>
      <c r="H520" t="s">
        <v>2763</v>
      </c>
      <c r="J520" t="s">
        <v>2764</v>
      </c>
      <c r="K520" t="s">
        <v>2765</v>
      </c>
      <c r="L520" t="s">
        <v>2766</v>
      </c>
      <c r="M520" t="s">
        <v>2767</v>
      </c>
      <c r="N520">
        <v>2019</v>
      </c>
      <c r="O520" s="1">
        <v>45783.300162037034</v>
      </c>
      <c r="P520" s="1">
        <v>45783.300162037034</v>
      </c>
      <c r="R520" t="s">
        <v>2768</v>
      </c>
      <c r="T520">
        <v>6</v>
      </c>
      <c r="U520">
        <v>11</v>
      </c>
      <c r="W520" t="s">
        <v>2769</v>
      </c>
      <c r="AE520" t="s">
        <v>645</v>
      </c>
      <c r="AH520" t="s">
        <v>646</v>
      </c>
      <c r="AL520" t="s">
        <v>2770</v>
      </c>
      <c r="AP520" t="s">
        <v>2771</v>
      </c>
    </row>
    <row r="521" spans="1:74" x14ac:dyDescent="0.2">
      <c r="A521" t="s">
        <v>6684</v>
      </c>
      <c r="B521" t="s">
        <v>7035</v>
      </c>
      <c r="C521" t="s">
        <v>5343</v>
      </c>
      <c r="D521" t="s">
        <v>477</v>
      </c>
      <c r="E521">
        <v>2012</v>
      </c>
      <c r="F521" t="s">
        <v>5344</v>
      </c>
      <c r="G521" s="6" t="s">
        <v>5345</v>
      </c>
      <c r="H521" t="s">
        <v>5346</v>
      </c>
      <c r="I521" t="s">
        <v>5347</v>
      </c>
      <c r="K521" t="s">
        <v>5348</v>
      </c>
      <c r="L521" t="s">
        <v>5349</v>
      </c>
      <c r="N521" t="s">
        <v>5350</v>
      </c>
      <c r="O521" s="1">
        <v>45783.311331018522</v>
      </c>
      <c r="P521" s="1">
        <v>45783.311331018522</v>
      </c>
      <c r="Q521" s="1">
        <v>45783.311331018522</v>
      </c>
      <c r="R521" t="s">
        <v>5351</v>
      </c>
      <c r="AC521" t="s">
        <v>5107</v>
      </c>
      <c r="AD521" t="s">
        <v>5352</v>
      </c>
      <c r="AJ521" t="s">
        <v>98</v>
      </c>
      <c r="BV521" t="s">
        <v>5353</v>
      </c>
    </row>
    <row r="522" spans="1:74" x14ac:dyDescent="0.2">
      <c r="A522" t="s">
        <v>7034</v>
      </c>
      <c r="B522" t="s">
        <v>7045</v>
      </c>
      <c r="C522" t="s">
        <v>507</v>
      </c>
      <c r="D522" t="s">
        <v>88</v>
      </c>
      <c r="E522">
        <v>2019</v>
      </c>
      <c r="F522" t="s">
        <v>508</v>
      </c>
      <c r="G522" s="6" t="s">
        <v>509</v>
      </c>
      <c r="H522" t="s">
        <v>510</v>
      </c>
      <c r="I522" t="s">
        <v>511</v>
      </c>
      <c r="L522" t="s">
        <v>512</v>
      </c>
      <c r="N522">
        <v>2019</v>
      </c>
      <c r="O522" s="1">
        <v>45783.293634259258</v>
      </c>
      <c r="P522" s="1">
        <v>45783.293634259258</v>
      </c>
      <c r="Q522" s="1">
        <v>45783.293634259258</v>
      </c>
      <c r="R522" t="s">
        <v>513</v>
      </c>
      <c r="U522">
        <v>847</v>
      </c>
      <c r="X522" t="s">
        <v>514</v>
      </c>
      <c r="AC522" t="s">
        <v>262</v>
      </c>
      <c r="AD522" t="s">
        <v>96</v>
      </c>
      <c r="AJ522" t="s">
        <v>98</v>
      </c>
      <c r="AL522" t="s">
        <v>515</v>
      </c>
      <c r="AR522" t="s">
        <v>516</v>
      </c>
    </row>
    <row r="523" spans="1:74" x14ac:dyDescent="0.2">
      <c r="A523" t="s">
        <v>7034</v>
      </c>
      <c r="B523" t="s">
        <v>6673</v>
      </c>
      <c r="C523" t="s">
        <v>605</v>
      </c>
      <c r="D523" t="s">
        <v>102</v>
      </c>
      <c r="E523">
        <v>2010</v>
      </c>
      <c r="F523" t="s">
        <v>606</v>
      </c>
      <c r="G523" s="6" t="s">
        <v>607</v>
      </c>
      <c r="H523" t="s">
        <v>608</v>
      </c>
      <c r="J523" t="s">
        <v>609</v>
      </c>
      <c r="K523" t="s">
        <v>610</v>
      </c>
      <c r="L523" t="s">
        <v>611</v>
      </c>
      <c r="N523" t="s">
        <v>612</v>
      </c>
      <c r="O523" s="1">
        <v>45783.29378472222</v>
      </c>
      <c r="P523" s="1">
        <v>45784.286643518521</v>
      </c>
      <c r="Q523" s="1">
        <v>45783.29378472222</v>
      </c>
      <c r="R523" t="s">
        <v>613</v>
      </c>
      <c r="T523" s="3">
        <v>45875</v>
      </c>
      <c r="U523">
        <v>26</v>
      </c>
      <c r="W523" t="s">
        <v>614</v>
      </c>
      <c r="AE523" t="s">
        <v>97</v>
      </c>
      <c r="AF523" t="s">
        <v>615</v>
      </c>
      <c r="AJ523" t="s">
        <v>98</v>
      </c>
      <c r="AP523" t="s">
        <v>616</v>
      </c>
    </row>
    <row r="524" spans="1:74" x14ac:dyDescent="0.2">
      <c r="A524" t="s">
        <v>6684</v>
      </c>
      <c r="B524" t="s">
        <v>7035</v>
      </c>
      <c r="C524" t="s">
        <v>2140</v>
      </c>
      <c r="D524" t="s">
        <v>102</v>
      </c>
      <c r="E524">
        <v>2019</v>
      </c>
      <c r="F524" t="s">
        <v>2141</v>
      </c>
      <c r="G524" s="6" t="s">
        <v>2142</v>
      </c>
      <c r="H524" t="s">
        <v>2143</v>
      </c>
      <c r="J524" t="s">
        <v>2144</v>
      </c>
      <c r="K524" t="s">
        <v>2145</v>
      </c>
      <c r="L524" t="s">
        <v>2146</v>
      </c>
      <c r="M524" t="s">
        <v>2147</v>
      </c>
      <c r="N524">
        <v>2019</v>
      </c>
      <c r="O524" s="1">
        <v>45783.300162037034</v>
      </c>
      <c r="P524" s="1">
        <v>45783.300162037034</v>
      </c>
      <c r="R524" t="s">
        <v>2148</v>
      </c>
      <c r="T524" s="3">
        <v>45750</v>
      </c>
      <c r="U524">
        <v>13</v>
      </c>
      <c r="W524" t="s">
        <v>2149</v>
      </c>
      <c r="AE524" t="s">
        <v>645</v>
      </c>
      <c r="AH524" t="s">
        <v>646</v>
      </c>
      <c r="AL524" t="s">
        <v>2150</v>
      </c>
      <c r="AP524" t="s">
        <v>2151</v>
      </c>
    </row>
    <row r="525" spans="1:74" x14ac:dyDescent="0.2">
      <c r="A525" t="s">
        <v>7034</v>
      </c>
      <c r="B525" t="s">
        <v>7047</v>
      </c>
      <c r="C525" t="s">
        <v>456</v>
      </c>
      <c r="D525" t="s">
        <v>88</v>
      </c>
      <c r="E525">
        <v>2021</v>
      </c>
      <c r="F525" t="s">
        <v>457</v>
      </c>
      <c r="G525" s="6" t="s">
        <v>458</v>
      </c>
      <c r="H525" t="s">
        <v>459</v>
      </c>
      <c r="I525" t="s">
        <v>460</v>
      </c>
      <c r="L525" t="s">
        <v>461</v>
      </c>
      <c r="N525">
        <v>2021</v>
      </c>
      <c r="O525" s="1">
        <v>45783.293576388889</v>
      </c>
      <c r="P525" s="1">
        <v>45783.293576388889</v>
      </c>
      <c r="Q525" s="1">
        <v>45783.293576388889</v>
      </c>
      <c r="R525" t="s">
        <v>462</v>
      </c>
      <c r="AC525" t="s">
        <v>463</v>
      </c>
      <c r="AD525" t="s">
        <v>212</v>
      </c>
      <c r="AE525" t="s">
        <v>97</v>
      </c>
      <c r="AJ525" t="s">
        <v>98</v>
      </c>
      <c r="AL525" t="s">
        <v>464</v>
      </c>
      <c r="AR525" t="s">
        <v>465</v>
      </c>
    </row>
    <row r="526" spans="1:74" x14ac:dyDescent="0.2">
      <c r="A526" t="s">
        <v>6684</v>
      </c>
      <c r="B526" t="s">
        <v>7042</v>
      </c>
      <c r="C526" t="s">
        <v>3064</v>
      </c>
      <c r="D526" t="s">
        <v>477</v>
      </c>
      <c r="E526">
        <v>2002</v>
      </c>
      <c r="F526" t="s">
        <v>3065</v>
      </c>
      <c r="G526" s="6" t="s">
        <v>3066</v>
      </c>
      <c r="H526" t="s">
        <v>3067</v>
      </c>
      <c r="L526" t="s">
        <v>3068</v>
      </c>
      <c r="M526" t="s">
        <v>3069</v>
      </c>
      <c r="N526">
        <v>2002</v>
      </c>
      <c r="O526" s="1">
        <v>45783.300173611111</v>
      </c>
      <c r="P526" s="1">
        <v>45783.300173611111</v>
      </c>
      <c r="R526">
        <v>305</v>
      </c>
      <c r="AE526" t="s">
        <v>645</v>
      </c>
      <c r="AH526" t="s">
        <v>646</v>
      </c>
      <c r="AL526" t="s">
        <v>3070</v>
      </c>
      <c r="AP526" t="s">
        <v>3071</v>
      </c>
      <c r="BV526" t="s">
        <v>3072</v>
      </c>
    </row>
    <row r="527" spans="1:74" x14ac:dyDescent="0.2">
      <c r="A527" t="s">
        <v>7034</v>
      </c>
      <c r="B527" t="s">
        <v>7054</v>
      </c>
      <c r="C527" t="s">
        <v>5676</v>
      </c>
      <c r="D527" t="s">
        <v>477</v>
      </c>
      <c r="E527">
        <v>2024</v>
      </c>
      <c r="F527" t="s">
        <v>5677</v>
      </c>
      <c r="G527" s="6" t="s">
        <v>5678</v>
      </c>
      <c r="H527" t="s">
        <v>5679</v>
      </c>
      <c r="I527" t="s">
        <v>5680</v>
      </c>
      <c r="K527" t="s">
        <v>5681</v>
      </c>
      <c r="L527" t="s">
        <v>5682</v>
      </c>
      <c r="N527" s="2">
        <v>45610</v>
      </c>
      <c r="O527" s="1">
        <v>45783.311736111114</v>
      </c>
      <c r="P527" s="1">
        <v>45783.311736111114</v>
      </c>
      <c r="Q527" s="1">
        <v>45783.311736111114</v>
      </c>
      <c r="R527" t="s">
        <v>5683</v>
      </c>
      <c r="X527" t="s">
        <v>5684</v>
      </c>
      <c r="AC527" t="s">
        <v>5107</v>
      </c>
      <c r="AD527" t="s">
        <v>5685</v>
      </c>
      <c r="AF527" t="s">
        <v>5109</v>
      </c>
      <c r="AJ527" t="s">
        <v>98</v>
      </c>
      <c r="BV527" t="s">
        <v>5679</v>
      </c>
    </row>
    <row r="528" spans="1:74" x14ac:dyDescent="0.2">
      <c r="A528" t="s">
        <v>6684</v>
      </c>
      <c r="B528" t="s">
        <v>7035</v>
      </c>
      <c r="C528" t="s">
        <v>6418</v>
      </c>
      <c r="D528" t="s">
        <v>102</v>
      </c>
      <c r="E528">
        <v>2021</v>
      </c>
      <c r="F528" t="s">
        <v>6419</v>
      </c>
      <c r="G528" s="6" t="s">
        <v>6420</v>
      </c>
      <c r="H528" t="s">
        <v>6421</v>
      </c>
      <c r="J528" t="s">
        <v>6422</v>
      </c>
      <c r="K528" t="s">
        <v>6423</v>
      </c>
      <c r="L528" t="s">
        <v>6424</v>
      </c>
      <c r="N528" s="2">
        <v>44378</v>
      </c>
      <c r="O528" s="1">
        <v>45783.313564814816</v>
      </c>
      <c r="P528" s="1">
        <v>45783.462361111109</v>
      </c>
      <c r="Q528" s="1">
        <v>45783.313564814816</v>
      </c>
      <c r="R528" t="s">
        <v>6425</v>
      </c>
      <c r="T528">
        <v>3</v>
      </c>
      <c r="U528">
        <v>9</v>
      </c>
      <c r="W528" t="s">
        <v>6426</v>
      </c>
      <c r="AF528" t="s">
        <v>5140</v>
      </c>
      <c r="AJ528" t="s">
        <v>98</v>
      </c>
      <c r="AP528" t="s">
        <v>6427</v>
      </c>
    </row>
    <row r="529" spans="1:74" x14ac:dyDescent="0.2">
      <c r="A529" t="s">
        <v>6684</v>
      </c>
      <c r="B529" t="s">
        <v>6657</v>
      </c>
      <c r="C529" t="s">
        <v>1139</v>
      </c>
      <c r="D529" t="s">
        <v>102</v>
      </c>
      <c r="E529">
        <v>2024</v>
      </c>
      <c r="F529" t="s">
        <v>1140</v>
      </c>
      <c r="G529" s="6" t="s">
        <v>1141</v>
      </c>
      <c r="H529" t="s">
        <v>1142</v>
      </c>
      <c r="J529" t="s">
        <v>1143</v>
      </c>
      <c r="K529" t="s">
        <v>1144</v>
      </c>
      <c r="L529" t="s">
        <v>1145</v>
      </c>
      <c r="M529" t="s">
        <v>1146</v>
      </c>
      <c r="N529">
        <v>2024</v>
      </c>
      <c r="O529" s="1">
        <v>45783.300150462965</v>
      </c>
      <c r="P529" s="1">
        <v>45783.300150462965</v>
      </c>
      <c r="T529">
        <v>11</v>
      </c>
      <c r="U529">
        <v>16</v>
      </c>
      <c r="W529" t="s">
        <v>1142</v>
      </c>
      <c r="AE529" t="s">
        <v>645</v>
      </c>
      <c r="AH529" t="s">
        <v>646</v>
      </c>
      <c r="AL529" t="s">
        <v>826</v>
      </c>
      <c r="AP529" t="s">
        <v>1147</v>
      </c>
    </row>
    <row r="530" spans="1:74" x14ac:dyDescent="0.2">
      <c r="A530" t="s">
        <v>6684</v>
      </c>
      <c r="B530" t="s">
        <v>6657</v>
      </c>
      <c r="C530" t="s">
        <v>3149</v>
      </c>
      <c r="D530" t="s">
        <v>102</v>
      </c>
      <c r="E530">
        <v>1999</v>
      </c>
      <c r="F530" t="s">
        <v>3150</v>
      </c>
      <c r="G530" s="6" t="s">
        <v>3151</v>
      </c>
      <c r="H530" t="s">
        <v>2277</v>
      </c>
      <c r="J530" t="s">
        <v>2278</v>
      </c>
      <c r="K530" t="s">
        <v>3152</v>
      </c>
      <c r="L530" t="s">
        <v>3153</v>
      </c>
      <c r="M530" t="s">
        <v>3154</v>
      </c>
      <c r="N530">
        <v>1999</v>
      </c>
      <c r="O530" s="1">
        <v>45783.300173611111</v>
      </c>
      <c r="P530" s="1">
        <v>45783.300173611111</v>
      </c>
      <c r="R530" s="4">
        <v>41275</v>
      </c>
      <c r="T530">
        <v>1</v>
      </c>
      <c r="U530">
        <v>40</v>
      </c>
      <c r="W530" t="s">
        <v>2282</v>
      </c>
      <c r="AE530" t="s">
        <v>645</v>
      </c>
      <c r="AH530" t="s">
        <v>646</v>
      </c>
      <c r="AL530" t="s">
        <v>3155</v>
      </c>
      <c r="AP530" t="s">
        <v>3156</v>
      </c>
    </row>
    <row r="531" spans="1:74" x14ac:dyDescent="0.2">
      <c r="A531" t="s">
        <v>6684</v>
      </c>
      <c r="B531" t="s">
        <v>7035</v>
      </c>
      <c r="C531" t="s">
        <v>6240</v>
      </c>
      <c r="D531" t="s">
        <v>477</v>
      </c>
      <c r="E531">
        <v>2022</v>
      </c>
      <c r="F531" t="s">
        <v>6241</v>
      </c>
      <c r="G531" s="6" t="s">
        <v>6242</v>
      </c>
      <c r="H531" t="s">
        <v>6243</v>
      </c>
      <c r="I531" t="s">
        <v>6244</v>
      </c>
      <c r="K531" t="s">
        <v>6245</v>
      </c>
      <c r="L531" t="s">
        <v>6246</v>
      </c>
      <c r="N531" s="2">
        <v>44884</v>
      </c>
      <c r="O531" s="1">
        <v>45783.313391203701</v>
      </c>
      <c r="P531" s="1">
        <v>45783.313391203701</v>
      </c>
      <c r="Q531" s="1">
        <v>45783.313391203701</v>
      </c>
      <c r="R531" t="s">
        <v>6247</v>
      </c>
      <c r="AC531" t="s">
        <v>5107</v>
      </c>
      <c r="AD531" t="s">
        <v>6248</v>
      </c>
      <c r="AF531" t="s">
        <v>5109</v>
      </c>
      <c r="AJ531" t="s">
        <v>98</v>
      </c>
      <c r="BV531" t="s">
        <v>6243</v>
      </c>
    </row>
    <row r="532" spans="1:74" x14ac:dyDescent="0.2">
      <c r="A532" t="s">
        <v>6684</v>
      </c>
      <c r="B532" t="s">
        <v>6653</v>
      </c>
      <c r="C532" t="s">
        <v>1301</v>
      </c>
      <c r="D532" t="s">
        <v>102</v>
      </c>
      <c r="E532">
        <v>2024</v>
      </c>
      <c r="F532" t="s">
        <v>1302</v>
      </c>
      <c r="G532" s="6" t="s">
        <v>1303</v>
      </c>
      <c r="H532" t="s">
        <v>1304</v>
      </c>
      <c r="J532" t="s">
        <v>1305</v>
      </c>
      <c r="K532" t="s">
        <v>1306</v>
      </c>
      <c r="L532" t="s">
        <v>1307</v>
      </c>
      <c r="M532" t="s">
        <v>1308</v>
      </c>
      <c r="N532">
        <v>2024</v>
      </c>
      <c r="O532" s="1">
        <v>45783.300150462965</v>
      </c>
      <c r="P532" s="1">
        <v>45783.300150462965</v>
      </c>
      <c r="T532">
        <v>10</v>
      </c>
      <c r="U532">
        <v>12</v>
      </c>
      <c r="W532" t="s">
        <v>1309</v>
      </c>
      <c r="AE532" t="s">
        <v>645</v>
      </c>
      <c r="AH532" t="s">
        <v>646</v>
      </c>
      <c r="AL532" t="s">
        <v>826</v>
      </c>
      <c r="AP532" t="s">
        <v>1310</v>
      </c>
    </row>
    <row r="533" spans="1:74" x14ac:dyDescent="0.2">
      <c r="A533" t="s">
        <v>6684</v>
      </c>
      <c r="B533" t="s">
        <v>6685</v>
      </c>
      <c r="C533" t="s">
        <v>6428</v>
      </c>
      <c r="D533" t="s">
        <v>477</v>
      </c>
      <c r="E533">
        <v>2024</v>
      </c>
      <c r="F533" t="s">
        <v>3919</v>
      </c>
      <c r="G533" s="6" t="s">
        <v>6429</v>
      </c>
      <c r="H533" t="s">
        <v>6430</v>
      </c>
      <c r="I533" t="s">
        <v>6431</v>
      </c>
      <c r="K533" t="s">
        <v>6432</v>
      </c>
      <c r="L533" t="s">
        <v>6433</v>
      </c>
      <c r="N533" s="2">
        <v>45448</v>
      </c>
      <c r="O533" s="1">
        <v>45783.313564814816</v>
      </c>
      <c r="P533" s="1">
        <v>45784.290462962963</v>
      </c>
      <c r="Q533" s="1">
        <v>45783.313564814816</v>
      </c>
      <c r="R533" s="3">
        <v>45748</v>
      </c>
      <c r="AC533" t="s">
        <v>5107</v>
      </c>
      <c r="AD533" t="s">
        <v>6434</v>
      </c>
      <c r="AF533" t="s">
        <v>5109</v>
      </c>
      <c r="AJ533" t="s">
        <v>98</v>
      </c>
      <c r="AP533" t="s">
        <v>6435</v>
      </c>
      <c r="BV533" t="s">
        <v>6430</v>
      </c>
    </row>
    <row r="534" spans="1:74" x14ac:dyDescent="0.2">
      <c r="A534" t="s">
        <v>6684</v>
      </c>
      <c r="B534" t="s">
        <v>6685</v>
      </c>
      <c r="C534" t="s">
        <v>3918</v>
      </c>
      <c r="D534" t="s">
        <v>477</v>
      </c>
      <c r="E534">
        <v>2023</v>
      </c>
      <c r="F534" t="s">
        <v>3919</v>
      </c>
      <c r="G534" s="6" t="s">
        <v>3920</v>
      </c>
      <c r="H534" t="s">
        <v>3921</v>
      </c>
      <c r="I534" t="s">
        <v>3922</v>
      </c>
      <c r="K534" t="s">
        <v>3923</v>
      </c>
      <c r="L534" t="s">
        <v>3924</v>
      </c>
      <c r="M534" t="s">
        <v>3925</v>
      </c>
      <c r="N534">
        <v>2023</v>
      </c>
      <c r="O534" s="1">
        <v>45783.306377314817</v>
      </c>
      <c r="P534" s="1">
        <v>45783.469976851855</v>
      </c>
      <c r="R534" t="s">
        <v>3926</v>
      </c>
      <c r="Y534" t="s">
        <v>3927</v>
      </c>
      <c r="AC534" t="s">
        <v>1167</v>
      </c>
      <c r="AD534" t="s">
        <v>3218</v>
      </c>
      <c r="AL534" t="s">
        <v>3928</v>
      </c>
      <c r="AP534" t="s">
        <v>3929</v>
      </c>
    </row>
    <row r="535" spans="1:74" x14ac:dyDescent="0.2">
      <c r="A535" t="s">
        <v>7034</v>
      </c>
      <c r="B535" t="s">
        <v>6674</v>
      </c>
      <c r="C535" t="s">
        <v>6282</v>
      </c>
      <c r="D535" t="s">
        <v>102</v>
      </c>
      <c r="E535">
        <v>2007</v>
      </c>
      <c r="F535" t="s">
        <v>6283</v>
      </c>
      <c r="G535" s="6" t="s">
        <v>6284</v>
      </c>
      <c r="H535" t="s">
        <v>1376</v>
      </c>
      <c r="J535" t="s">
        <v>3707</v>
      </c>
      <c r="K535" t="s">
        <v>6285</v>
      </c>
      <c r="L535" t="s">
        <v>6286</v>
      </c>
      <c r="N535" t="s">
        <v>6287</v>
      </c>
      <c r="O535" s="1">
        <v>45783.306388888886</v>
      </c>
      <c r="P535" s="1">
        <v>45784.28733796296</v>
      </c>
      <c r="Q535" s="1">
        <v>45783.313425925924</v>
      </c>
      <c r="R535" t="s">
        <v>6288</v>
      </c>
      <c r="T535">
        <v>1</v>
      </c>
      <c r="U535">
        <v>13</v>
      </c>
      <c r="W535" t="s">
        <v>3713</v>
      </c>
      <c r="AF535" t="s">
        <v>5140</v>
      </c>
      <c r="AJ535" t="s">
        <v>98</v>
      </c>
      <c r="AP535" t="s">
        <v>6289</v>
      </c>
    </row>
    <row r="536" spans="1:74" x14ac:dyDescent="0.2">
      <c r="A536" t="s">
        <v>6684</v>
      </c>
      <c r="B536" t="s">
        <v>7040</v>
      </c>
      <c r="C536" t="s">
        <v>3748</v>
      </c>
      <c r="D536" t="s">
        <v>102</v>
      </c>
      <c r="E536">
        <v>2025</v>
      </c>
      <c r="F536" t="s">
        <v>3749</v>
      </c>
      <c r="G536" s="6" t="s">
        <v>3750</v>
      </c>
      <c r="H536" t="s">
        <v>3751</v>
      </c>
      <c r="J536" t="s">
        <v>3752</v>
      </c>
      <c r="K536" t="s">
        <v>3753</v>
      </c>
      <c r="L536" t="s">
        <v>3754</v>
      </c>
      <c r="M536" t="s">
        <v>3755</v>
      </c>
      <c r="N536" t="s">
        <v>3756</v>
      </c>
      <c r="O536" s="1">
        <v>45783.30636574074</v>
      </c>
      <c r="P536" s="1">
        <v>45783.30636574074</v>
      </c>
      <c r="R536" t="s">
        <v>3757</v>
      </c>
      <c r="T536">
        <v>1</v>
      </c>
      <c r="U536">
        <v>17</v>
      </c>
      <c r="AL536" t="s">
        <v>3350</v>
      </c>
      <c r="AP536" t="s">
        <v>3758</v>
      </c>
    </row>
    <row r="537" spans="1:74" x14ac:dyDescent="0.2">
      <c r="A537" t="s">
        <v>6684</v>
      </c>
      <c r="B537" t="s">
        <v>7035</v>
      </c>
      <c r="C537" t="s">
        <v>215</v>
      </c>
      <c r="D537" t="s">
        <v>102</v>
      </c>
      <c r="E537">
        <v>2023</v>
      </c>
      <c r="F537" t="s">
        <v>216</v>
      </c>
      <c r="G537" s="6" t="s">
        <v>217</v>
      </c>
      <c r="H537" t="s">
        <v>218</v>
      </c>
      <c r="J537" t="s">
        <v>219</v>
      </c>
      <c r="K537" t="s">
        <v>220</v>
      </c>
      <c r="L537" t="s">
        <v>221</v>
      </c>
      <c r="M537" t="s">
        <v>222</v>
      </c>
      <c r="N537" t="s">
        <v>223</v>
      </c>
      <c r="O537" s="1">
        <v>45783.293113425927</v>
      </c>
      <c r="P537" s="1">
        <v>45783.293113425927</v>
      </c>
      <c r="Q537" s="1">
        <v>45783.293113425927</v>
      </c>
      <c r="R537" t="s">
        <v>224</v>
      </c>
      <c r="T537">
        <v>4</v>
      </c>
      <c r="U537">
        <v>28</v>
      </c>
      <c r="W537" t="s">
        <v>225</v>
      </c>
      <c r="AE537" t="s">
        <v>97</v>
      </c>
      <c r="AJ537" t="s">
        <v>98</v>
      </c>
      <c r="AN537" t="s">
        <v>226</v>
      </c>
    </row>
    <row r="538" spans="1:74" x14ac:dyDescent="0.2">
      <c r="A538" t="s">
        <v>7034</v>
      </c>
      <c r="B538" t="s">
        <v>7045</v>
      </c>
      <c r="C538" t="s">
        <v>4515</v>
      </c>
      <c r="D538" t="s">
        <v>477</v>
      </c>
      <c r="E538">
        <v>2019</v>
      </c>
      <c r="F538" t="s">
        <v>4516</v>
      </c>
      <c r="G538" s="6" t="s">
        <v>4517</v>
      </c>
      <c r="H538" t="s">
        <v>4518</v>
      </c>
      <c r="I538" t="s">
        <v>4519</v>
      </c>
      <c r="K538" t="s">
        <v>4520</v>
      </c>
      <c r="L538" t="s">
        <v>4521</v>
      </c>
      <c r="M538" t="s">
        <v>4522</v>
      </c>
      <c r="N538">
        <v>2019</v>
      </c>
      <c r="O538" s="1">
        <v>45783.306377314817</v>
      </c>
      <c r="P538" s="1">
        <v>45783.306377314817</v>
      </c>
      <c r="R538" t="s">
        <v>4523</v>
      </c>
      <c r="Y538" t="s">
        <v>4524</v>
      </c>
      <c r="AC538" t="s">
        <v>1167</v>
      </c>
      <c r="AD538" t="s">
        <v>3218</v>
      </c>
      <c r="AL538" t="s">
        <v>4525</v>
      </c>
      <c r="AP538" t="s">
        <v>4526</v>
      </c>
    </row>
    <row r="539" spans="1:74" x14ac:dyDescent="0.2">
      <c r="A539" t="s">
        <v>6684</v>
      </c>
      <c r="B539" t="s">
        <v>7053</v>
      </c>
      <c r="C539" t="s">
        <v>5874</v>
      </c>
      <c r="D539" t="s">
        <v>477</v>
      </c>
      <c r="E539">
        <v>2022</v>
      </c>
      <c r="F539" t="s">
        <v>5875</v>
      </c>
      <c r="G539" s="6" t="s">
        <v>5876</v>
      </c>
      <c r="H539" t="s">
        <v>5877</v>
      </c>
      <c r="I539" t="s">
        <v>5878</v>
      </c>
      <c r="K539" t="s">
        <v>5879</v>
      </c>
      <c r="L539" t="s">
        <v>5880</v>
      </c>
      <c r="N539" s="2">
        <v>44702</v>
      </c>
      <c r="O539" s="1">
        <v>45783.312025462961</v>
      </c>
      <c r="P539" s="1">
        <v>45783.312025462961</v>
      </c>
      <c r="Q539" s="1">
        <v>45783.312025462961</v>
      </c>
      <c r="R539" t="s">
        <v>5881</v>
      </c>
      <c r="X539" t="s">
        <v>5882</v>
      </c>
      <c r="AC539" t="s">
        <v>5107</v>
      </c>
      <c r="AD539" t="s">
        <v>5883</v>
      </c>
      <c r="AF539" t="s">
        <v>5109</v>
      </c>
      <c r="AJ539" t="s">
        <v>98</v>
      </c>
      <c r="BV539" t="s">
        <v>5877</v>
      </c>
    </row>
    <row r="540" spans="1:74" x14ac:dyDescent="0.2">
      <c r="A540" t="s">
        <v>6684</v>
      </c>
      <c r="B540" t="s">
        <v>7035</v>
      </c>
      <c r="C540" t="s">
        <v>2217</v>
      </c>
      <c r="D540" t="s">
        <v>477</v>
      </c>
      <c r="E540">
        <v>2019</v>
      </c>
      <c r="F540" t="s">
        <v>2218</v>
      </c>
      <c r="G540" s="6" t="s">
        <v>2219</v>
      </c>
      <c r="H540" t="s">
        <v>2220</v>
      </c>
      <c r="I540" t="s">
        <v>2221</v>
      </c>
      <c r="K540" t="s">
        <v>2222</v>
      </c>
      <c r="L540" t="s">
        <v>2223</v>
      </c>
      <c r="M540" t="s">
        <v>2224</v>
      </c>
      <c r="N540">
        <v>2019</v>
      </c>
      <c r="O540" s="1">
        <v>45783.300162037034</v>
      </c>
      <c r="P540" s="1">
        <v>45783.300162037034</v>
      </c>
      <c r="R540" t="s">
        <v>2225</v>
      </c>
      <c r="AC540" t="s">
        <v>2226</v>
      </c>
      <c r="AE540" t="s">
        <v>645</v>
      </c>
      <c r="AH540" t="s">
        <v>646</v>
      </c>
      <c r="AL540" t="s">
        <v>2227</v>
      </c>
      <c r="AP540" t="s">
        <v>2228</v>
      </c>
      <c r="AR540" t="s">
        <v>2229</v>
      </c>
      <c r="BV540" t="s">
        <v>2230</v>
      </c>
    </row>
    <row r="541" spans="1:74" x14ac:dyDescent="0.2">
      <c r="A541" t="s">
        <v>6684</v>
      </c>
      <c r="B541" t="s">
        <v>7035</v>
      </c>
      <c r="C541" t="s">
        <v>828</v>
      </c>
      <c r="D541" t="s">
        <v>102</v>
      </c>
      <c r="E541">
        <v>2024</v>
      </c>
      <c r="F541" t="s">
        <v>829</v>
      </c>
      <c r="G541" s="6" t="s">
        <v>830</v>
      </c>
      <c r="H541" t="s">
        <v>831</v>
      </c>
      <c r="J541" t="s">
        <v>832</v>
      </c>
      <c r="K541" t="s">
        <v>833</v>
      </c>
      <c r="L541" t="s">
        <v>834</v>
      </c>
      <c r="M541" t="s">
        <v>835</v>
      </c>
      <c r="N541">
        <v>2024</v>
      </c>
      <c r="O541" s="1">
        <v>45783.300150462965</v>
      </c>
      <c r="P541" s="1">
        <v>45783.300150462965</v>
      </c>
      <c r="W541" t="s">
        <v>836</v>
      </c>
      <c r="AE541" t="s">
        <v>645</v>
      </c>
      <c r="AH541" t="s">
        <v>646</v>
      </c>
      <c r="AL541" t="s">
        <v>837</v>
      </c>
      <c r="AP541" t="s">
        <v>838</v>
      </c>
    </row>
    <row r="542" spans="1:74" x14ac:dyDescent="0.2">
      <c r="A542" t="s">
        <v>6684</v>
      </c>
      <c r="B542" t="s">
        <v>6685</v>
      </c>
      <c r="C542" t="s">
        <v>5074</v>
      </c>
      <c r="D542" t="s">
        <v>477</v>
      </c>
      <c r="E542">
        <v>2003</v>
      </c>
      <c r="F542" t="s">
        <v>5075</v>
      </c>
      <c r="G542" s="6" t="s">
        <v>5076</v>
      </c>
      <c r="H542" t="s">
        <v>5077</v>
      </c>
      <c r="I542" t="s">
        <v>5078</v>
      </c>
      <c r="M542" t="s">
        <v>5079</v>
      </c>
      <c r="N542">
        <v>2003</v>
      </c>
      <c r="O542" s="1">
        <v>45783.306388888886</v>
      </c>
      <c r="P542" s="1">
        <v>45783.306388888886</v>
      </c>
      <c r="R542">
        <v>259</v>
      </c>
      <c r="Y542" t="s">
        <v>5080</v>
      </c>
      <c r="AC542" t="s">
        <v>1895</v>
      </c>
      <c r="AD542" t="s">
        <v>3867</v>
      </c>
      <c r="AP542" t="s">
        <v>5081</v>
      </c>
    </row>
    <row r="543" spans="1:74" x14ac:dyDescent="0.2">
      <c r="A543" t="s">
        <v>6684</v>
      </c>
      <c r="B543" t="s">
        <v>7045</v>
      </c>
      <c r="C543" t="s">
        <v>4181</v>
      </c>
      <c r="D543" t="s">
        <v>477</v>
      </c>
      <c r="E543">
        <v>2023</v>
      </c>
      <c r="F543" t="s">
        <v>4182</v>
      </c>
      <c r="G543" s="6" t="s">
        <v>4183</v>
      </c>
      <c r="H543" t="s">
        <v>4184</v>
      </c>
      <c r="I543" t="s">
        <v>4185</v>
      </c>
      <c r="K543" t="s">
        <v>4186</v>
      </c>
      <c r="L543" t="s">
        <v>4187</v>
      </c>
      <c r="M543" t="s">
        <v>4188</v>
      </c>
      <c r="N543">
        <v>2023</v>
      </c>
      <c r="O543" s="1">
        <v>45783.306377314817</v>
      </c>
      <c r="P543" s="1">
        <v>45783.306377314817</v>
      </c>
      <c r="R543" t="s">
        <v>4189</v>
      </c>
      <c r="AC543" t="s">
        <v>3194</v>
      </c>
      <c r="AD543" t="s">
        <v>589</v>
      </c>
      <c r="AL543" t="s">
        <v>3206</v>
      </c>
      <c r="AP543" t="s">
        <v>4190</v>
      </c>
    </row>
    <row r="544" spans="1:74" x14ac:dyDescent="0.2">
      <c r="A544" t="s">
        <v>6684</v>
      </c>
      <c r="B544" t="s">
        <v>6657</v>
      </c>
      <c r="C544" t="s">
        <v>661</v>
      </c>
      <c r="D544" t="s">
        <v>102</v>
      </c>
      <c r="E544">
        <v>2024</v>
      </c>
      <c r="F544" t="s">
        <v>662</v>
      </c>
      <c r="G544" s="6" t="s">
        <v>663</v>
      </c>
      <c r="H544" t="s">
        <v>664</v>
      </c>
      <c r="J544" t="s">
        <v>665</v>
      </c>
      <c r="K544" t="s">
        <v>666</v>
      </c>
      <c r="L544" t="s">
        <v>667</v>
      </c>
      <c r="M544" t="s">
        <v>668</v>
      </c>
      <c r="N544">
        <v>2024</v>
      </c>
      <c r="O544" s="1">
        <v>45783.300138888888</v>
      </c>
      <c r="P544" s="1">
        <v>45783.300138888888</v>
      </c>
      <c r="R544" t="s">
        <v>669</v>
      </c>
      <c r="T544">
        <v>12</v>
      </c>
      <c r="U544">
        <v>62</v>
      </c>
      <c r="W544" t="s">
        <v>670</v>
      </c>
      <c r="AE544" t="s">
        <v>645</v>
      </c>
      <c r="AH544" t="s">
        <v>646</v>
      </c>
      <c r="AL544" t="s">
        <v>671</v>
      </c>
      <c r="AP544" t="s">
        <v>672</v>
      </c>
    </row>
    <row r="545" spans="1:74" x14ac:dyDescent="0.2">
      <c r="A545" t="s">
        <v>6684</v>
      </c>
      <c r="B545" t="s">
        <v>7035</v>
      </c>
      <c r="C545" t="s">
        <v>6407</v>
      </c>
      <c r="D545" t="s">
        <v>477</v>
      </c>
      <c r="E545">
        <v>2024</v>
      </c>
      <c r="F545" t="s">
        <v>6408</v>
      </c>
      <c r="G545" s="6" t="s">
        <v>6409</v>
      </c>
      <c r="H545" t="s">
        <v>6410</v>
      </c>
      <c r="I545" t="s">
        <v>6411</v>
      </c>
      <c r="K545" t="s">
        <v>6412</v>
      </c>
      <c r="L545" t="s">
        <v>6413</v>
      </c>
      <c r="N545" s="2">
        <v>45594</v>
      </c>
      <c r="O545" s="1">
        <v>45783.31355324074</v>
      </c>
      <c r="P545" s="1">
        <v>45783.405405092592</v>
      </c>
      <c r="Q545" s="1">
        <v>45783.31355324074</v>
      </c>
      <c r="R545" t="s">
        <v>6414</v>
      </c>
      <c r="AC545" t="s">
        <v>5107</v>
      </c>
      <c r="AD545" t="s">
        <v>6415</v>
      </c>
      <c r="AF545" t="s">
        <v>5109</v>
      </c>
      <c r="AJ545" t="s">
        <v>98</v>
      </c>
      <c r="AP545" t="s">
        <v>6416</v>
      </c>
      <c r="BV545" t="s">
        <v>6417</v>
      </c>
    </row>
    <row r="546" spans="1:74" x14ac:dyDescent="0.2">
      <c r="A546" t="s">
        <v>6684</v>
      </c>
      <c r="B546" t="s">
        <v>7050</v>
      </c>
      <c r="C546" t="s">
        <v>3603</v>
      </c>
      <c r="D546" t="s">
        <v>477</v>
      </c>
      <c r="E546">
        <v>2022</v>
      </c>
      <c r="F546" t="s">
        <v>3604</v>
      </c>
      <c r="G546" s="6" t="s">
        <v>3605</v>
      </c>
      <c r="H546" t="s">
        <v>3606</v>
      </c>
      <c r="I546" t="s">
        <v>3607</v>
      </c>
      <c r="K546" t="s">
        <v>3608</v>
      </c>
      <c r="L546" t="s">
        <v>3609</v>
      </c>
      <c r="M546" t="s">
        <v>3610</v>
      </c>
      <c r="N546">
        <v>2022</v>
      </c>
      <c r="O546" s="1">
        <v>45783.30636574074</v>
      </c>
      <c r="P546" s="1">
        <v>45783.30636574074</v>
      </c>
      <c r="R546" t="s">
        <v>3611</v>
      </c>
      <c r="Y546" t="s">
        <v>3612</v>
      </c>
      <c r="AC546" t="s">
        <v>1167</v>
      </c>
      <c r="AD546" t="s">
        <v>3218</v>
      </c>
      <c r="AL546" t="s">
        <v>3613</v>
      </c>
      <c r="AP546" t="s">
        <v>3614</v>
      </c>
    </row>
    <row r="547" spans="1:74" x14ac:dyDescent="0.2">
      <c r="A547" t="s">
        <v>6684</v>
      </c>
      <c r="B547" t="s">
        <v>7044</v>
      </c>
      <c r="C547" t="s">
        <v>4471</v>
      </c>
      <c r="D547" t="s">
        <v>477</v>
      </c>
      <c r="E547">
        <v>2020</v>
      </c>
      <c r="F547" t="s">
        <v>4472</v>
      </c>
      <c r="G547" s="6" t="s">
        <v>4473</v>
      </c>
      <c r="H547" t="s">
        <v>4474</v>
      </c>
      <c r="I547" t="s">
        <v>4475</v>
      </c>
      <c r="K547" t="s">
        <v>4476</v>
      </c>
      <c r="L547" t="s">
        <v>4477</v>
      </c>
      <c r="M547" t="s">
        <v>4478</v>
      </c>
      <c r="N547">
        <v>2020</v>
      </c>
      <c r="O547" s="1">
        <v>45783.306377314817</v>
      </c>
      <c r="P547" s="1">
        <v>45783.306377314817</v>
      </c>
      <c r="Y547" t="s">
        <v>4479</v>
      </c>
      <c r="AC547" t="s">
        <v>1167</v>
      </c>
      <c r="AD547" t="s">
        <v>3218</v>
      </c>
      <c r="AL547" t="s">
        <v>4480</v>
      </c>
      <c r="AP547" t="s">
        <v>4481</v>
      </c>
    </row>
    <row r="548" spans="1:74" x14ac:dyDescent="0.2">
      <c r="A548" t="s">
        <v>6684</v>
      </c>
      <c r="B548" t="s">
        <v>6657</v>
      </c>
      <c r="C548" t="s">
        <v>3515</v>
      </c>
      <c r="D548" t="s">
        <v>477</v>
      </c>
      <c r="E548">
        <v>2024</v>
      </c>
      <c r="F548" t="s">
        <v>3516</v>
      </c>
      <c r="G548" s="6" t="s">
        <v>3517</v>
      </c>
      <c r="H548" t="s">
        <v>3518</v>
      </c>
      <c r="I548" t="s">
        <v>3519</v>
      </c>
      <c r="K548" t="s">
        <v>3520</v>
      </c>
      <c r="L548" t="s">
        <v>3521</v>
      </c>
      <c r="M548" t="s">
        <v>3522</v>
      </c>
      <c r="N548">
        <v>2024</v>
      </c>
      <c r="O548" s="1">
        <v>45783.30636574074</v>
      </c>
      <c r="P548" s="1">
        <v>45783.30636574074</v>
      </c>
      <c r="R548" t="s">
        <v>3523</v>
      </c>
      <c r="Y548" t="s">
        <v>3524</v>
      </c>
      <c r="AC548" t="s">
        <v>1167</v>
      </c>
      <c r="AD548" t="s">
        <v>3218</v>
      </c>
      <c r="AL548" t="s">
        <v>3525</v>
      </c>
      <c r="AP548" t="s">
        <v>3526</v>
      </c>
    </row>
    <row r="549" spans="1:74" x14ac:dyDescent="0.2">
      <c r="A549" t="s">
        <v>7034</v>
      </c>
      <c r="B549" t="s">
        <v>7047</v>
      </c>
      <c r="C549" t="s">
        <v>5765</v>
      </c>
      <c r="D549" t="s">
        <v>477</v>
      </c>
      <c r="E549">
        <v>2017</v>
      </c>
      <c r="F549" t="s">
        <v>5766</v>
      </c>
      <c r="G549" s="6" t="s">
        <v>5767</v>
      </c>
      <c r="H549" t="s">
        <v>5768</v>
      </c>
      <c r="I549" t="s">
        <v>5769</v>
      </c>
      <c r="K549" t="s">
        <v>5770</v>
      </c>
      <c r="L549" t="s">
        <v>5771</v>
      </c>
      <c r="N549" t="s">
        <v>5772</v>
      </c>
      <c r="O549" s="1">
        <v>45783.311886574076</v>
      </c>
      <c r="P549" s="1">
        <v>45783.311886574076</v>
      </c>
      <c r="Q549" s="1">
        <v>45783.311886574076</v>
      </c>
      <c r="R549" t="s">
        <v>5773</v>
      </c>
      <c r="AC549" t="s">
        <v>5107</v>
      </c>
      <c r="AD549" t="s">
        <v>5774</v>
      </c>
      <c r="AJ549" t="s">
        <v>98</v>
      </c>
      <c r="BV549" t="s">
        <v>5768</v>
      </c>
    </row>
    <row r="550" spans="1:74" x14ac:dyDescent="0.2">
      <c r="A550" t="s">
        <v>7034</v>
      </c>
      <c r="B550" t="s">
        <v>6663</v>
      </c>
      <c r="C550" t="s">
        <v>1538</v>
      </c>
      <c r="D550" t="s">
        <v>102</v>
      </c>
      <c r="E550">
        <v>2022</v>
      </c>
      <c r="F550" t="s">
        <v>1539</v>
      </c>
      <c r="G550" s="6" t="s">
        <v>1540</v>
      </c>
      <c r="H550" t="s">
        <v>909</v>
      </c>
      <c r="J550" t="s">
        <v>910</v>
      </c>
      <c r="K550" t="s">
        <v>1541</v>
      </c>
      <c r="L550" t="s">
        <v>1542</v>
      </c>
      <c r="M550" t="s">
        <v>1543</v>
      </c>
      <c r="N550">
        <v>2022</v>
      </c>
      <c r="O550" s="1">
        <v>45783.300150462965</v>
      </c>
      <c r="P550" s="1">
        <v>45783.300150462965</v>
      </c>
      <c r="T550">
        <v>4</v>
      </c>
      <c r="U550">
        <v>22</v>
      </c>
      <c r="W550" t="s">
        <v>909</v>
      </c>
      <c r="AE550" t="s">
        <v>645</v>
      </c>
      <c r="AH550" t="s">
        <v>646</v>
      </c>
      <c r="AL550" t="s">
        <v>1524</v>
      </c>
      <c r="AP550" t="s">
        <v>1544</v>
      </c>
    </row>
    <row r="551" spans="1:74" x14ac:dyDescent="0.2">
      <c r="A551" t="s">
        <v>6684</v>
      </c>
      <c r="B551" t="s">
        <v>7035</v>
      </c>
      <c r="C551" t="s">
        <v>3048</v>
      </c>
      <c r="D551" t="s">
        <v>477</v>
      </c>
      <c r="E551">
        <v>2015</v>
      </c>
      <c r="F551" t="s">
        <v>3049</v>
      </c>
      <c r="G551" s="6" t="s">
        <v>3050</v>
      </c>
      <c r="H551" t="s">
        <v>2364</v>
      </c>
      <c r="I551" t="s">
        <v>2365</v>
      </c>
      <c r="K551" t="s">
        <v>3051</v>
      </c>
      <c r="L551" t="s">
        <v>3052</v>
      </c>
      <c r="M551" t="s">
        <v>3053</v>
      </c>
      <c r="N551">
        <v>2015</v>
      </c>
      <c r="O551" s="1">
        <v>45783.300173611111</v>
      </c>
      <c r="P551" s="1">
        <v>45783.300173611111</v>
      </c>
      <c r="R551" t="s">
        <v>3054</v>
      </c>
      <c r="AC551" t="s">
        <v>681</v>
      </c>
      <c r="AE551" t="s">
        <v>645</v>
      </c>
      <c r="AH551" t="s">
        <v>646</v>
      </c>
      <c r="AL551" t="s">
        <v>2370</v>
      </c>
      <c r="AP551" t="s">
        <v>3055</v>
      </c>
      <c r="AR551" t="s">
        <v>2372</v>
      </c>
      <c r="BV551" t="s">
        <v>2373</v>
      </c>
    </row>
    <row r="552" spans="1:74" x14ac:dyDescent="0.2">
      <c r="A552" t="s">
        <v>6684</v>
      </c>
      <c r="B552" t="s">
        <v>7035</v>
      </c>
      <c r="C552" t="s">
        <v>5327</v>
      </c>
      <c r="D552" t="s">
        <v>477</v>
      </c>
      <c r="E552">
        <v>2025</v>
      </c>
      <c r="F552" t="s">
        <v>5328</v>
      </c>
      <c r="G552" s="6" t="s">
        <v>5329</v>
      </c>
      <c r="H552" t="s">
        <v>5272</v>
      </c>
      <c r="I552" t="s">
        <v>5273</v>
      </c>
      <c r="K552" t="s">
        <v>5330</v>
      </c>
      <c r="L552" t="s">
        <v>5331</v>
      </c>
      <c r="N552" s="2">
        <v>45724</v>
      </c>
      <c r="O552" s="1">
        <v>45783.311307870368</v>
      </c>
      <c r="P552" s="1">
        <v>45783.311307870368</v>
      </c>
      <c r="Q552" s="1">
        <v>45783.311307870368</v>
      </c>
      <c r="R552" t="s">
        <v>5332</v>
      </c>
      <c r="X552" t="s">
        <v>5333</v>
      </c>
      <c r="AC552" t="s">
        <v>5107</v>
      </c>
      <c r="AD552" t="s">
        <v>5278</v>
      </c>
      <c r="AF552" t="s">
        <v>5109</v>
      </c>
      <c r="AJ552" t="s">
        <v>98</v>
      </c>
      <c r="BV552" t="s">
        <v>5272</v>
      </c>
    </row>
    <row r="553" spans="1:74" x14ac:dyDescent="0.2">
      <c r="A553" t="s">
        <v>6684</v>
      </c>
      <c r="B553" t="s">
        <v>7035</v>
      </c>
      <c r="C553" t="s">
        <v>4140</v>
      </c>
      <c r="D553" t="s">
        <v>477</v>
      </c>
      <c r="E553">
        <v>2017</v>
      </c>
      <c r="F553" t="s">
        <v>4141</v>
      </c>
      <c r="G553" s="6" t="s">
        <v>4142</v>
      </c>
      <c r="H553" t="s">
        <v>4143</v>
      </c>
      <c r="I553" t="s">
        <v>4144</v>
      </c>
      <c r="K553" t="s">
        <v>4145</v>
      </c>
      <c r="L553" t="s">
        <v>4146</v>
      </c>
      <c r="M553" t="s">
        <v>4147</v>
      </c>
      <c r="N553">
        <v>2017</v>
      </c>
      <c r="O553" s="1">
        <v>45783.306377314817</v>
      </c>
      <c r="P553" s="1">
        <v>45783.452638888892</v>
      </c>
      <c r="R553" t="s">
        <v>4148</v>
      </c>
      <c r="Y553" t="s">
        <v>4149</v>
      </c>
      <c r="AC553" t="s">
        <v>1167</v>
      </c>
      <c r="AD553" t="s">
        <v>3218</v>
      </c>
      <c r="AL553" t="s">
        <v>4150</v>
      </c>
      <c r="AP553" t="s">
        <v>4151</v>
      </c>
      <c r="BV553" t="s">
        <v>1170</v>
      </c>
    </row>
    <row r="554" spans="1:74" x14ac:dyDescent="0.2">
      <c r="A554" t="s">
        <v>6684</v>
      </c>
      <c r="B554" t="s">
        <v>7035</v>
      </c>
      <c r="C554" t="s">
        <v>4490</v>
      </c>
      <c r="D554" t="s">
        <v>102</v>
      </c>
      <c r="E554">
        <v>2024</v>
      </c>
      <c r="F554" t="s">
        <v>4491</v>
      </c>
      <c r="G554" s="6" t="s">
        <v>4492</v>
      </c>
      <c r="H554" t="s">
        <v>2187</v>
      </c>
      <c r="J554" t="s">
        <v>4060</v>
      </c>
      <c r="K554" t="s">
        <v>4493</v>
      </c>
      <c r="L554" t="s">
        <v>4494</v>
      </c>
      <c r="N554" t="s">
        <v>3993</v>
      </c>
      <c r="O554" s="1">
        <v>45783.306377314817</v>
      </c>
      <c r="P554" s="1">
        <v>45784.338877314818</v>
      </c>
      <c r="R554" t="s">
        <v>4495</v>
      </c>
      <c r="T554" t="s">
        <v>3283</v>
      </c>
      <c r="U554">
        <v>239</v>
      </c>
      <c r="AL554" t="s">
        <v>3648</v>
      </c>
      <c r="AP554" t="s">
        <v>4496</v>
      </c>
    </row>
    <row r="555" spans="1:74" x14ac:dyDescent="0.2">
      <c r="A555" t="s">
        <v>6684</v>
      </c>
      <c r="B555" t="s">
        <v>7050</v>
      </c>
      <c r="C555" t="s">
        <v>3157</v>
      </c>
      <c r="D555" t="s">
        <v>102</v>
      </c>
      <c r="E555">
        <v>2006</v>
      </c>
      <c r="F555" t="s">
        <v>3158</v>
      </c>
      <c r="G555" s="6" t="s">
        <v>3159</v>
      </c>
      <c r="H555" t="s">
        <v>3160</v>
      </c>
      <c r="J555" t="s">
        <v>3161</v>
      </c>
      <c r="K555" t="s">
        <v>3162</v>
      </c>
      <c r="L555" t="s">
        <v>3163</v>
      </c>
      <c r="M555" t="s">
        <v>3164</v>
      </c>
      <c r="N555">
        <v>2006</v>
      </c>
      <c r="O555" s="1">
        <v>45783.300173611111</v>
      </c>
      <c r="P555" s="1">
        <v>45783.300173611111</v>
      </c>
      <c r="R555" t="s">
        <v>3165</v>
      </c>
      <c r="T555">
        <v>3</v>
      </c>
      <c r="U555">
        <v>31</v>
      </c>
      <c r="W555" t="s">
        <v>3166</v>
      </c>
      <c r="AE555" t="s">
        <v>645</v>
      </c>
      <c r="AH555" t="s">
        <v>646</v>
      </c>
      <c r="AP555" t="s">
        <v>3167</v>
      </c>
    </row>
    <row r="556" spans="1:74" x14ac:dyDescent="0.2">
      <c r="A556" t="s">
        <v>6684</v>
      </c>
      <c r="B556" t="s">
        <v>7035</v>
      </c>
      <c r="C556" t="s">
        <v>2161</v>
      </c>
      <c r="D556" t="s">
        <v>477</v>
      </c>
      <c r="E556">
        <v>2009</v>
      </c>
      <c r="F556" t="s">
        <v>2162</v>
      </c>
      <c r="G556" s="6" t="s">
        <v>2163</v>
      </c>
      <c r="H556" t="s">
        <v>2164</v>
      </c>
      <c r="I556" t="s">
        <v>2165</v>
      </c>
      <c r="K556" t="s">
        <v>2166</v>
      </c>
      <c r="L556" t="s">
        <v>2167</v>
      </c>
      <c r="M556" t="s">
        <v>2168</v>
      </c>
      <c r="N556">
        <v>2009</v>
      </c>
      <c r="O556" s="1">
        <v>45783.300162037034</v>
      </c>
      <c r="P556" s="1">
        <v>45783.300162037034</v>
      </c>
      <c r="AE556" t="s">
        <v>645</v>
      </c>
      <c r="AH556" t="s">
        <v>646</v>
      </c>
      <c r="AL556" t="s">
        <v>2169</v>
      </c>
      <c r="AP556" t="s">
        <v>2170</v>
      </c>
      <c r="BV556" t="s">
        <v>2171</v>
      </c>
    </row>
    <row r="557" spans="1:74" x14ac:dyDescent="0.2">
      <c r="A557" t="s">
        <v>6684</v>
      </c>
      <c r="B557" t="s">
        <v>7055</v>
      </c>
      <c r="C557" t="s">
        <v>5626</v>
      </c>
      <c r="D557" t="s">
        <v>477</v>
      </c>
      <c r="E557">
        <v>2019</v>
      </c>
      <c r="F557" t="s">
        <v>5627</v>
      </c>
      <c r="G557" s="6" t="s">
        <v>5628</v>
      </c>
      <c r="H557" t="s">
        <v>5550</v>
      </c>
      <c r="I557" t="s">
        <v>5551</v>
      </c>
      <c r="K557" t="s">
        <v>5629</v>
      </c>
      <c r="L557" t="s">
        <v>5630</v>
      </c>
      <c r="N557" t="s">
        <v>4089</v>
      </c>
      <c r="O557" s="1">
        <v>45783.311678240738</v>
      </c>
      <c r="P557" s="1">
        <v>45783.311678240738</v>
      </c>
      <c r="Q557" s="1">
        <v>45783.311678240738</v>
      </c>
      <c r="R557" t="s">
        <v>5631</v>
      </c>
      <c r="AC557" t="s">
        <v>5107</v>
      </c>
      <c r="AD557" t="s">
        <v>5555</v>
      </c>
      <c r="AF557" t="s">
        <v>5140</v>
      </c>
      <c r="AJ557" t="s">
        <v>98</v>
      </c>
      <c r="BV557" t="s">
        <v>5550</v>
      </c>
    </row>
    <row r="558" spans="1:74" x14ac:dyDescent="0.2">
      <c r="A558" t="s">
        <v>6684</v>
      </c>
      <c r="B558" t="s">
        <v>7037</v>
      </c>
      <c r="C558" t="s">
        <v>2880</v>
      </c>
      <c r="D558" t="s">
        <v>477</v>
      </c>
      <c r="E558">
        <v>2011</v>
      </c>
      <c r="F558" t="s">
        <v>2881</v>
      </c>
      <c r="G558" s="6" t="s">
        <v>2882</v>
      </c>
      <c r="H558" t="s">
        <v>2883</v>
      </c>
      <c r="I558" t="s">
        <v>2884</v>
      </c>
      <c r="K558" t="s">
        <v>2885</v>
      </c>
      <c r="L558" t="s">
        <v>2886</v>
      </c>
      <c r="M558" t="s">
        <v>2887</v>
      </c>
      <c r="N558">
        <v>2011</v>
      </c>
      <c r="O558" s="1">
        <v>45783.300173611111</v>
      </c>
      <c r="P558" s="1">
        <v>45783.300173611111</v>
      </c>
      <c r="R558" t="s">
        <v>2888</v>
      </c>
      <c r="U558" t="s">
        <v>2889</v>
      </c>
      <c r="AE558" t="s">
        <v>645</v>
      </c>
      <c r="AH558" t="s">
        <v>646</v>
      </c>
      <c r="AL558" t="s">
        <v>2890</v>
      </c>
      <c r="AP558" t="s">
        <v>2891</v>
      </c>
      <c r="BV558" t="s">
        <v>2892</v>
      </c>
    </row>
    <row r="559" spans="1:74" x14ac:dyDescent="0.2">
      <c r="A559" t="s">
        <v>6684</v>
      </c>
      <c r="B559" t="s">
        <v>7037</v>
      </c>
      <c r="C559" t="s">
        <v>2690</v>
      </c>
      <c r="D559" t="s">
        <v>477</v>
      </c>
      <c r="E559">
        <v>2011</v>
      </c>
      <c r="F559" t="s">
        <v>2691</v>
      </c>
      <c r="G559" s="6" t="s">
        <v>2692</v>
      </c>
      <c r="H559" t="s">
        <v>2693</v>
      </c>
      <c r="I559" t="s">
        <v>2694</v>
      </c>
      <c r="L559" t="s">
        <v>2695</v>
      </c>
      <c r="M559" t="s">
        <v>2696</v>
      </c>
      <c r="N559">
        <v>2011</v>
      </c>
      <c r="O559" s="1">
        <v>45783.300162037034</v>
      </c>
      <c r="P559" s="1">
        <v>45783.300162037034</v>
      </c>
      <c r="R559" t="s">
        <v>2697</v>
      </c>
      <c r="AE559" t="s">
        <v>645</v>
      </c>
      <c r="AH559" t="s">
        <v>646</v>
      </c>
      <c r="AL559" t="s">
        <v>2698</v>
      </c>
      <c r="AP559" t="s">
        <v>2699</v>
      </c>
      <c r="BV559" t="s">
        <v>2700</v>
      </c>
    </row>
    <row r="560" spans="1:74" x14ac:dyDescent="0.2">
      <c r="A560" t="s">
        <v>6684</v>
      </c>
      <c r="B560" t="s">
        <v>6685</v>
      </c>
      <c r="C560" t="s">
        <v>2645</v>
      </c>
      <c r="D560" t="s">
        <v>477</v>
      </c>
      <c r="E560">
        <v>2018</v>
      </c>
      <c r="F560" t="s">
        <v>2646</v>
      </c>
      <c r="G560" s="6" t="s">
        <v>2647</v>
      </c>
      <c r="H560" t="s">
        <v>1161</v>
      </c>
      <c r="I560" t="s">
        <v>2648</v>
      </c>
      <c r="K560" t="s">
        <v>2649</v>
      </c>
      <c r="L560" t="s">
        <v>2650</v>
      </c>
      <c r="M560" t="s">
        <v>2651</v>
      </c>
      <c r="N560">
        <v>2018</v>
      </c>
      <c r="O560" s="1">
        <v>45783.300162037034</v>
      </c>
      <c r="P560" s="1">
        <v>45783.300162037034</v>
      </c>
      <c r="AC560" t="s">
        <v>1167</v>
      </c>
      <c r="AE560" t="s">
        <v>645</v>
      </c>
      <c r="AH560" t="s">
        <v>646</v>
      </c>
      <c r="AL560" t="s">
        <v>1168</v>
      </c>
      <c r="AP560" t="s">
        <v>2652</v>
      </c>
      <c r="BV560" t="s">
        <v>1170</v>
      </c>
    </row>
    <row r="561" spans="1:74" x14ac:dyDescent="0.2">
      <c r="A561" t="s">
        <v>6684</v>
      </c>
      <c r="B561" t="s">
        <v>7035</v>
      </c>
      <c r="C561" t="s">
        <v>1680</v>
      </c>
      <c r="D561" t="s">
        <v>102</v>
      </c>
      <c r="E561">
        <v>2023</v>
      </c>
      <c r="F561" t="s">
        <v>1681</v>
      </c>
      <c r="G561" s="6" t="s">
        <v>1682</v>
      </c>
      <c r="H561" t="s">
        <v>1596</v>
      </c>
      <c r="J561" t="s">
        <v>1597</v>
      </c>
      <c r="K561" t="s">
        <v>1683</v>
      </c>
      <c r="L561" t="s">
        <v>1684</v>
      </c>
      <c r="M561" t="s">
        <v>1685</v>
      </c>
      <c r="N561">
        <v>2023</v>
      </c>
      <c r="O561" s="1">
        <v>45783.300150462965</v>
      </c>
      <c r="P561" s="1">
        <v>45783.300150462965</v>
      </c>
      <c r="R561" t="s">
        <v>1686</v>
      </c>
      <c r="U561">
        <v>92</v>
      </c>
      <c r="W561" t="s">
        <v>1602</v>
      </c>
      <c r="AE561" t="s">
        <v>645</v>
      </c>
      <c r="AH561" t="s">
        <v>646</v>
      </c>
      <c r="AL561" t="s">
        <v>706</v>
      </c>
      <c r="AP561" t="s">
        <v>1687</v>
      </c>
    </row>
    <row r="562" spans="1:74" x14ac:dyDescent="0.2">
      <c r="A562" t="s">
        <v>6684</v>
      </c>
      <c r="B562" t="s">
        <v>7035</v>
      </c>
      <c r="C562" t="s">
        <v>851</v>
      </c>
      <c r="D562" t="s">
        <v>477</v>
      </c>
      <c r="E562">
        <v>2023</v>
      </c>
      <c r="F562" t="s">
        <v>852</v>
      </c>
      <c r="G562" s="6" t="s">
        <v>853</v>
      </c>
      <c r="H562" t="s">
        <v>854</v>
      </c>
      <c r="I562" t="s">
        <v>855</v>
      </c>
      <c r="K562" t="s">
        <v>856</v>
      </c>
      <c r="L562" t="s">
        <v>857</v>
      </c>
      <c r="M562" t="s">
        <v>858</v>
      </c>
      <c r="N562">
        <v>2023</v>
      </c>
      <c r="O562" s="1">
        <v>45783.300150462965</v>
      </c>
      <c r="P562" s="1">
        <v>45783.300150462965</v>
      </c>
      <c r="R562" t="s">
        <v>859</v>
      </c>
      <c r="U562">
        <v>119</v>
      </c>
      <c r="AC562" t="s">
        <v>860</v>
      </c>
      <c r="AE562" t="s">
        <v>645</v>
      </c>
      <c r="AH562" t="s">
        <v>646</v>
      </c>
      <c r="AL562" t="s">
        <v>861</v>
      </c>
      <c r="AP562" t="s">
        <v>862</v>
      </c>
      <c r="AR562" t="s">
        <v>863</v>
      </c>
      <c r="BV562" t="s">
        <v>854</v>
      </c>
    </row>
    <row r="563" spans="1:74" x14ac:dyDescent="0.2">
      <c r="A563" t="s">
        <v>6684</v>
      </c>
      <c r="B563" t="s">
        <v>7035</v>
      </c>
      <c r="C563" t="s">
        <v>3306</v>
      </c>
      <c r="D563" t="s">
        <v>477</v>
      </c>
      <c r="E563">
        <v>2023</v>
      </c>
      <c r="F563" t="s">
        <v>3307</v>
      </c>
      <c r="G563" s="6" t="s">
        <v>3308</v>
      </c>
      <c r="H563" t="s">
        <v>3309</v>
      </c>
      <c r="I563" t="s">
        <v>3310</v>
      </c>
      <c r="K563" t="s">
        <v>3311</v>
      </c>
      <c r="L563" t="s">
        <v>3312</v>
      </c>
      <c r="M563" t="s">
        <v>3313</v>
      </c>
      <c r="N563">
        <v>2023</v>
      </c>
      <c r="O563" s="1">
        <v>45783.30636574074</v>
      </c>
      <c r="P563" s="1">
        <v>45783.30636574074</v>
      </c>
      <c r="R563" t="s">
        <v>3314</v>
      </c>
      <c r="Y563" t="s">
        <v>3315</v>
      </c>
      <c r="AC563" t="s">
        <v>1167</v>
      </c>
      <c r="AD563" t="s">
        <v>3218</v>
      </c>
      <c r="AL563" t="s">
        <v>3316</v>
      </c>
      <c r="AP563" t="s">
        <v>3317</v>
      </c>
    </row>
    <row r="564" spans="1:74" x14ac:dyDescent="0.2">
      <c r="A564" t="s">
        <v>6684</v>
      </c>
      <c r="B564" t="s">
        <v>6685</v>
      </c>
      <c r="C564" t="s">
        <v>938</v>
      </c>
      <c r="D564" t="s">
        <v>102</v>
      </c>
      <c r="E564">
        <v>2024</v>
      </c>
      <c r="F564" t="s">
        <v>939</v>
      </c>
      <c r="G564" s="6" t="s">
        <v>940</v>
      </c>
      <c r="H564" t="s">
        <v>909</v>
      </c>
      <c r="J564" t="s">
        <v>910</v>
      </c>
      <c r="K564" t="s">
        <v>941</v>
      </c>
      <c r="L564" t="s">
        <v>942</v>
      </c>
      <c r="M564" t="s">
        <v>943</v>
      </c>
      <c r="N564">
        <v>2024</v>
      </c>
      <c r="O564" s="1">
        <v>45783.300150462965</v>
      </c>
      <c r="P564" s="1">
        <v>45783.300150462965</v>
      </c>
      <c r="T564">
        <v>8</v>
      </c>
      <c r="U564">
        <v>24</v>
      </c>
      <c r="W564" t="s">
        <v>909</v>
      </c>
      <c r="AE564" t="s">
        <v>645</v>
      </c>
      <c r="AH564" t="s">
        <v>646</v>
      </c>
      <c r="AL564" t="s">
        <v>826</v>
      </c>
      <c r="AP564" t="s">
        <v>944</v>
      </c>
    </row>
    <row r="565" spans="1:74" x14ac:dyDescent="0.2">
      <c r="A565" t="s">
        <v>7033</v>
      </c>
      <c r="B565" t="s">
        <v>7041</v>
      </c>
      <c r="C565" t="s">
        <v>2333</v>
      </c>
      <c r="D565" t="s">
        <v>477</v>
      </c>
      <c r="E565">
        <v>2015</v>
      </c>
      <c r="F565" t="s">
        <v>2334</v>
      </c>
      <c r="G565" s="6" t="s">
        <v>2335</v>
      </c>
      <c r="H565" t="s">
        <v>1043</v>
      </c>
      <c r="I565" t="s">
        <v>2336</v>
      </c>
      <c r="K565" t="s">
        <v>2337</v>
      </c>
      <c r="L565" t="s">
        <v>2338</v>
      </c>
      <c r="M565" t="s">
        <v>2339</v>
      </c>
      <c r="N565">
        <v>2015</v>
      </c>
      <c r="O565" s="1">
        <v>45783.300162037034</v>
      </c>
      <c r="P565" s="1">
        <v>45783.300162037034</v>
      </c>
      <c r="R565" t="s">
        <v>2340</v>
      </c>
      <c r="U565">
        <v>515</v>
      </c>
      <c r="AC565" t="s">
        <v>2306</v>
      </c>
      <c r="AE565" t="s">
        <v>645</v>
      </c>
      <c r="AH565" t="s">
        <v>646</v>
      </c>
      <c r="AL565" t="s">
        <v>1050</v>
      </c>
      <c r="AP565" t="s">
        <v>2341</v>
      </c>
      <c r="AR565" t="s">
        <v>2342</v>
      </c>
      <c r="BV565" t="s">
        <v>1053</v>
      </c>
    </row>
    <row r="566" spans="1:74" x14ac:dyDescent="0.2">
      <c r="A566" t="s">
        <v>7034</v>
      </c>
      <c r="B566" t="s">
        <v>7047</v>
      </c>
      <c r="C566" t="s">
        <v>296</v>
      </c>
      <c r="D566" t="s">
        <v>88</v>
      </c>
      <c r="E566">
        <v>2023</v>
      </c>
      <c r="F566" t="s">
        <v>297</v>
      </c>
      <c r="G566" s="6" t="s">
        <v>298</v>
      </c>
      <c r="H566" t="s">
        <v>299</v>
      </c>
      <c r="I566" t="s">
        <v>300</v>
      </c>
      <c r="L566" t="s">
        <v>301</v>
      </c>
      <c r="N566">
        <v>2023</v>
      </c>
      <c r="O566" s="1">
        <v>45783.293240740742</v>
      </c>
      <c r="P566" s="1">
        <v>45783.293240740742</v>
      </c>
      <c r="Q566" s="1">
        <v>45783.293240740742</v>
      </c>
      <c r="R566" t="s">
        <v>302</v>
      </c>
      <c r="U566">
        <v>754</v>
      </c>
      <c r="AC566" t="s">
        <v>211</v>
      </c>
      <c r="AD566" t="s">
        <v>212</v>
      </c>
      <c r="AE566" t="s">
        <v>97</v>
      </c>
      <c r="AJ566" t="s">
        <v>98</v>
      </c>
      <c r="AL566" t="s">
        <v>303</v>
      </c>
      <c r="AR566" t="s">
        <v>304</v>
      </c>
    </row>
    <row r="567" spans="1:74" x14ac:dyDescent="0.2">
      <c r="A567" t="s">
        <v>6684</v>
      </c>
      <c r="B567" t="s">
        <v>7035</v>
      </c>
      <c r="C567" t="s">
        <v>3392</v>
      </c>
      <c r="D567" t="s">
        <v>477</v>
      </c>
      <c r="E567">
        <v>2018</v>
      </c>
      <c r="F567" t="s">
        <v>3393</v>
      </c>
      <c r="G567" s="6" t="s">
        <v>3394</v>
      </c>
      <c r="H567" t="s">
        <v>3395</v>
      </c>
      <c r="I567" t="s">
        <v>3396</v>
      </c>
      <c r="K567" t="s">
        <v>3397</v>
      </c>
      <c r="L567" t="s">
        <v>3398</v>
      </c>
      <c r="M567" t="s">
        <v>3399</v>
      </c>
      <c r="N567">
        <v>2018</v>
      </c>
      <c r="O567" s="1">
        <v>45783.293692129628</v>
      </c>
      <c r="P567" s="1">
        <v>45784.35229166667</v>
      </c>
      <c r="R567" t="s">
        <v>3400</v>
      </c>
      <c r="U567">
        <v>10920</v>
      </c>
      <c r="AC567" t="s">
        <v>3194</v>
      </c>
      <c r="AD567" t="s">
        <v>589</v>
      </c>
      <c r="AL567" t="s">
        <v>3401</v>
      </c>
      <c r="AP567" t="s">
        <v>3402</v>
      </c>
    </row>
    <row r="568" spans="1:74" x14ac:dyDescent="0.2">
      <c r="A568" t="s">
        <v>6684</v>
      </c>
      <c r="B568" t="s">
        <v>7035</v>
      </c>
      <c r="C568" t="s">
        <v>5431</v>
      </c>
      <c r="D568" t="s">
        <v>477</v>
      </c>
      <c r="E568">
        <v>2020</v>
      </c>
      <c r="F568" t="s">
        <v>5432</v>
      </c>
      <c r="G568" s="6" t="s">
        <v>5433</v>
      </c>
      <c r="H568" t="s">
        <v>5434</v>
      </c>
      <c r="I568" t="s">
        <v>5435</v>
      </c>
      <c r="K568" t="s">
        <v>5436</v>
      </c>
      <c r="L568" t="s">
        <v>5437</v>
      </c>
      <c r="N568" s="2">
        <v>44183</v>
      </c>
      <c r="O568" s="1">
        <v>45783.311412037037</v>
      </c>
      <c r="P568" s="1">
        <v>45783.311412037037</v>
      </c>
      <c r="Q568" s="1">
        <v>45783.311412037037</v>
      </c>
      <c r="R568" s="3">
        <v>45748</v>
      </c>
      <c r="AC568" t="s">
        <v>5107</v>
      </c>
      <c r="AD568" t="s">
        <v>5438</v>
      </c>
      <c r="AJ568" t="s">
        <v>98</v>
      </c>
      <c r="BV568" t="s">
        <v>5434</v>
      </c>
    </row>
    <row r="569" spans="1:74" x14ac:dyDescent="0.2">
      <c r="A569" t="s">
        <v>6684</v>
      </c>
      <c r="B569" t="s">
        <v>6657</v>
      </c>
      <c r="C569" t="s">
        <v>2833</v>
      </c>
      <c r="D569" t="s">
        <v>102</v>
      </c>
      <c r="E569">
        <v>2013</v>
      </c>
      <c r="F569" t="s">
        <v>2834</v>
      </c>
      <c r="G569" s="6" t="s">
        <v>2835</v>
      </c>
      <c r="H569" t="s">
        <v>2836</v>
      </c>
      <c r="J569" t="s">
        <v>2837</v>
      </c>
      <c r="K569" t="s">
        <v>2838</v>
      </c>
      <c r="L569" t="s">
        <v>2839</v>
      </c>
      <c r="M569" t="s">
        <v>2840</v>
      </c>
      <c r="N569">
        <v>2013</v>
      </c>
      <c r="O569" s="1">
        <v>45783.300162037034</v>
      </c>
      <c r="P569" s="1">
        <v>45783.300162037034</v>
      </c>
      <c r="R569" t="s">
        <v>2841</v>
      </c>
      <c r="U569">
        <v>118</v>
      </c>
      <c r="W569" t="s">
        <v>2842</v>
      </c>
      <c r="AE569" t="s">
        <v>645</v>
      </c>
      <c r="AH569" t="s">
        <v>646</v>
      </c>
      <c r="AP569" t="s">
        <v>2843</v>
      </c>
    </row>
    <row r="570" spans="1:74" x14ac:dyDescent="0.2">
      <c r="A570" t="s">
        <v>6684</v>
      </c>
      <c r="B570" t="s">
        <v>7037</v>
      </c>
      <c r="C570" t="s">
        <v>2804</v>
      </c>
      <c r="D570" t="s">
        <v>102</v>
      </c>
      <c r="E570">
        <v>2014</v>
      </c>
      <c r="F570" t="s">
        <v>2805</v>
      </c>
      <c r="G570" s="6" t="s">
        <v>2806</v>
      </c>
      <c r="H570" t="s">
        <v>2807</v>
      </c>
      <c r="J570" t="s">
        <v>2808</v>
      </c>
      <c r="K570" t="s">
        <v>2809</v>
      </c>
      <c r="L570" t="s">
        <v>2810</v>
      </c>
      <c r="M570" t="s">
        <v>2811</v>
      </c>
      <c r="N570">
        <v>2014</v>
      </c>
      <c r="O570" s="1">
        <v>45783.300162037034</v>
      </c>
      <c r="P570" s="1">
        <v>45783.300162037034</v>
      </c>
      <c r="R570" t="s">
        <v>2812</v>
      </c>
      <c r="T570" s="3">
        <v>45718</v>
      </c>
      <c r="U570">
        <v>26</v>
      </c>
      <c r="W570" t="s">
        <v>2813</v>
      </c>
      <c r="AE570" t="s">
        <v>645</v>
      </c>
      <c r="AH570" t="s">
        <v>646</v>
      </c>
      <c r="AL570" t="s">
        <v>2770</v>
      </c>
      <c r="AP570" t="s">
        <v>2814</v>
      </c>
    </row>
    <row r="571" spans="1:74" x14ac:dyDescent="0.2">
      <c r="A571" t="s">
        <v>6684</v>
      </c>
      <c r="B571" t="s">
        <v>7035</v>
      </c>
      <c r="C571" t="s">
        <v>4274</v>
      </c>
      <c r="D571" t="s">
        <v>102</v>
      </c>
      <c r="E571">
        <v>2023</v>
      </c>
      <c r="F571" t="s">
        <v>4275</v>
      </c>
      <c r="G571" s="6" t="s">
        <v>4276</v>
      </c>
      <c r="H571" t="s">
        <v>4277</v>
      </c>
      <c r="J571" t="s">
        <v>4278</v>
      </c>
      <c r="K571" t="s">
        <v>4279</v>
      </c>
      <c r="L571" t="s">
        <v>4280</v>
      </c>
      <c r="N571" t="s">
        <v>4281</v>
      </c>
      <c r="O571" s="1">
        <v>45783.306377314817</v>
      </c>
      <c r="P571" s="1">
        <v>45783.306377314817</v>
      </c>
      <c r="T571" t="s">
        <v>3283</v>
      </c>
      <c r="U571">
        <v>92</v>
      </c>
      <c r="AL571" t="s">
        <v>3648</v>
      </c>
      <c r="AP571" t="s">
        <v>4282</v>
      </c>
    </row>
    <row r="572" spans="1:74" x14ac:dyDescent="0.2">
      <c r="A572" t="s">
        <v>6684</v>
      </c>
      <c r="B572" t="s">
        <v>7050</v>
      </c>
      <c r="C572" t="s">
        <v>3650</v>
      </c>
      <c r="D572" t="s">
        <v>477</v>
      </c>
      <c r="E572">
        <v>2019</v>
      </c>
      <c r="F572" t="s">
        <v>3651</v>
      </c>
      <c r="G572" s="6" t="s">
        <v>3652</v>
      </c>
      <c r="H572" t="s">
        <v>3653</v>
      </c>
      <c r="I572" t="s">
        <v>3654</v>
      </c>
      <c r="K572" t="s">
        <v>3655</v>
      </c>
      <c r="L572" t="s">
        <v>3656</v>
      </c>
      <c r="M572" t="s">
        <v>3657</v>
      </c>
      <c r="N572">
        <v>2019</v>
      </c>
      <c r="O572" s="1">
        <v>45783.30636574074</v>
      </c>
      <c r="P572" s="1">
        <v>45783.30636574074</v>
      </c>
      <c r="Y572" t="s">
        <v>3658</v>
      </c>
      <c r="AC572" t="s">
        <v>1167</v>
      </c>
      <c r="AD572" t="s">
        <v>3218</v>
      </c>
      <c r="AL572" t="s">
        <v>3659</v>
      </c>
    </row>
    <row r="573" spans="1:74" x14ac:dyDescent="0.2">
      <c r="A573" t="s">
        <v>6684</v>
      </c>
      <c r="B573" t="s">
        <v>7040</v>
      </c>
      <c r="C573" t="s">
        <v>2231</v>
      </c>
      <c r="D573" t="s">
        <v>477</v>
      </c>
      <c r="E573">
        <v>2017</v>
      </c>
      <c r="F573" t="s">
        <v>2232</v>
      </c>
      <c r="G573" s="6" t="s">
        <v>2233</v>
      </c>
      <c r="H573" t="s">
        <v>2234</v>
      </c>
      <c r="I573" t="s">
        <v>2235</v>
      </c>
      <c r="L573" t="s">
        <v>2236</v>
      </c>
      <c r="M573" t="s">
        <v>2237</v>
      </c>
      <c r="N573">
        <v>2017</v>
      </c>
      <c r="O573" s="1">
        <v>45783.300162037034</v>
      </c>
      <c r="P573" s="1">
        <v>45783.300162037034</v>
      </c>
      <c r="R573" t="s">
        <v>2238</v>
      </c>
      <c r="AC573" t="s">
        <v>2239</v>
      </c>
      <c r="AE573" t="s">
        <v>1644</v>
      </c>
      <c r="AH573" t="s">
        <v>646</v>
      </c>
      <c r="AL573" t="s">
        <v>2240</v>
      </c>
      <c r="AP573" t="s">
        <v>2241</v>
      </c>
      <c r="AR573" t="s">
        <v>2242</v>
      </c>
      <c r="BV573" t="s">
        <v>2243</v>
      </c>
    </row>
    <row r="574" spans="1:74" x14ac:dyDescent="0.2">
      <c r="A574" t="s">
        <v>6684</v>
      </c>
      <c r="B574" t="s">
        <v>6653</v>
      </c>
      <c r="C574" t="s">
        <v>254</v>
      </c>
      <c r="D574" t="s">
        <v>88</v>
      </c>
      <c r="E574">
        <v>2023</v>
      </c>
      <c r="F574" t="s">
        <v>255</v>
      </c>
      <c r="G574" s="6" t="s">
        <v>256</v>
      </c>
      <c r="H574" t="s">
        <v>257</v>
      </c>
      <c r="I574" t="s">
        <v>258</v>
      </c>
      <c r="L574" t="s">
        <v>259</v>
      </c>
      <c r="N574">
        <v>2023</v>
      </c>
      <c r="O574" s="1">
        <v>45783.29315972222</v>
      </c>
      <c r="P574" s="1">
        <v>45783.29315972222</v>
      </c>
      <c r="Q574" s="1">
        <v>45783.29315972222</v>
      </c>
      <c r="R574" t="s">
        <v>260</v>
      </c>
      <c r="X574" t="s">
        <v>261</v>
      </c>
      <c r="AC574" t="s">
        <v>262</v>
      </c>
      <c r="AD574" t="s">
        <v>96</v>
      </c>
      <c r="AE574" t="s">
        <v>97</v>
      </c>
      <c r="AJ574" t="s">
        <v>98</v>
      </c>
      <c r="AL574" t="s">
        <v>263</v>
      </c>
      <c r="AR574" t="s">
        <v>264</v>
      </c>
    </row>
    <row r="575" spans="1:74" x14ac:dyDescent="0.2">
      <c r="A575" t="s">
        <v>6684</v>
      </c>
      <c r="B575" t="s">
        <v>7035</v>
      </c>
      <c r="C575" t="s">
        <v>1398</v>
      </c>
      <c r="D575" t="s">
        <v>102</v>
      </c>
      <c r="E575">
        <v>2024</v>
      </c>
      <c r="F575" t="s">
        <v>1399</v>
      </c>
      <c r="G575" s="6" t="s">
        <v>1400</v>
      </c>
      <c r="H575" t="s">
        <v>1401</v>
      </c>
      <c r="J575" t="s">
        <v>1402</v>
      </c>
      <c r="K575" t="s">
        <v>1403</v>
      </c>
      <c r="L575" t="s">
        <v>1404</v>
      </c>
      <c r="M575" t="s">
        <v>1405</v>
      </c>
      <c r="N575">
        <v>2024</v>
      </c>
      <c r="O575" s="1">
        <v>45783.300150462965</v>
      </c>
      <c r="P575" s="1">
        <v>45783.300150462965</v>
      </c>
      <c r="T575">
        <v>7</v>
      </c>
      <c r="U575">
        <v>12</v>
      </c>
      <c r="W575" t="s">
        <v>1406</v>
      </c>
      <c r="AE575" t="s">
        <v>645</v>
      </c>
      <c r="AH575" t="s">
        <v>646</v>
      </c>
      <c r="AL575" t="s">
        <v>826</v>
      </c>
      <c r="AP575" t="s">
        <v>1407</v>
      </c>
    </row>
    <row r="576" spans="1:74" x14ac:dyDescent="0.2">
      <c r="A576" t="s">
        <v>6684</v>
      </c>
      <c r="B576" t="s">
        <v>7035</v>
      </c>
      <c r="C576" t="s">
        <v>5835</v>
      </c>
      <c r="D576" t="s">
        <v>477</v>
      </c>
      <c r="E576">
        <v>2021</v>
      </c>
      <c r="F576" t="s">
        <v>5836</v>
      </c>
      <c r="G576" s="6" t="s">
        <v>5837</v>
      </c>
      <c r="H576" t="s">
        <v>5689</v>
      </c>
      <c r="I576" t="s">
        <v>5690</v>
      </c>
      <c r="K576" t="s">
        <v>5838</v>
      </c>
      <c r="L576" t="s">
        <v>5839</v>
      </c>
      <c r="N576" t="s">
        <v>5401</v>
      </c>
      <c r="O576" s="1">
        <v>45783.311979166669</v>
      </c>
      <c r="P576" s="1">
        <v>45783.311979166669</v>
      </c>
      <c r="Q576" s="1">
        <v>45783.311979166669</v>
      </c>
      <c r="R576" t="s">
        <v>5840</v>
      </c>
      <c r="X576" t="s">
        <v>5841</v>
      </c>
      <c r="AC576" t="s">
        <v>5107</v>
      </c>
      <c r="AD576" t="s">
        <v>5695</v>
      </c>
      <c r="AF576" t="s">
        <v>5140</v>
      </c>
      <c r="AJ576" t="s">
        <v>98</v>
      </c>
      <c r="AN576" t="s">
        <v>5842</v>
      </c>
      <c r="BV576" t="s">
        <v>5689</v>
      </c>
    </row>
    <row r="577" spans="1:74" x14ac:dyDescent="0.2">
      <c r="A577" t="s">
        <v>6684</v>
      </c>
      <c r="B577" t="s">
        <v>6657</v>
      </c>
      <c r="C577" t="s">
        <v>2387</v>
      </c>
      <c r="D577" t="s">
        <v>477</v>
      </c>
      <c r="E577">
        <v>2013</v>
      </c>
      <c r="F577" t="s">
        <v>2388</v>
      </c>
      <c r="G577" s="6" t="s">
        <v>2389</v>
      </c>
      <c r="H577" t="s">
        <v>2390</v>
      </c>
      <c r="I577" t="s">
        <v>2391</v>
      </c>
      <c r="K577" t="s">
        <v>2392</v>
      </c>
      <c r="L577" t="s">
        <v>2393</v>
      </c>
      <c r="M577" t="s">
        <v>2394</v>
      </c>
      <c r="N577">
        <v>2013</v>
      </c>
      <c r="O577" s="1">
        <v>45783.300162037034</v>
      </c>
      <c r="P577" s="1">
        <v>45783.300162037034</v>
      </c>
      <c r="R577" t="s">
        <v>2395</v>
      </c>
      <c r="AE577" t="s">
        <v>645</v>
      </c>
      <c r="AH577" t="s">
        <v>646</v>
      </c>
      <c r="AL577" t="s">
        <v>2396</v>
      </c>
      <c r="AP577" t="s">
        <v>2397</v>
      </c>
      <c r="BV577" t="s">
        <v>2398</v>
      </c>
    </row>
    <row r="578" spans="1:74" x14ac:dyDescent="0.2">
      <c r="A578" t="s">
        <v>6684</v>
      </c>
      <c r="B578" t="s">
        <v>6657</v>
      </c>
      <c r="C578" t="s">
        <v>896</v>
      </c>
      <c r="D578" t="s">
        <v>102</v>
      </c>
      <c r="E578">
        <v>2024</v>
      </c>
      <c r="F578" t="s">
        <v>897</v>
      </c>
      <c r="G578" s="6" t="s">
        <v>898</v>
      </c>
      <c r="H578" t="s">
        <v>899</v>
      </c>
      <c r="J578" t="s">
        <v>900</v>
      </c>
      <c r="K578" t="s">
        <v>901</v>
      </c>
      <c r="L578" t="s">
        <v>902</v>
      </c>
      <c r="M578" t="s">
        <v>903</v>
      </c>
      <c r="N578">
        <v>2024</v>
      </c>
      <c r="O578" s="1">
        <v>45783.300150462965</v>
      </c>
      <c r="P578" s="1">
        <v>45783.300150462965</v>
      </c>
      <c r="T578">
        <v>1</v>
      </c>
      <c r="U578">
        <v>82</v>
      </c>
      <c r="W578" t="s">
        <v>904</v>
      </c>
      <c r="AE578" t="s">
        <v>645</v>
      </c>
      <c r="AH578" t="s">
        <v>646</v>
      </c>
      <c r="AL578" t="s">
        <v>826</v>
      </c>
      <c r="AP578" t="s">
        <v>905</v>
      </c>
    </row>
    <row r="579" spans="1:74" x14ac:dyDescent="0.2">
      <c r="A579" t="s">
        <v>7034</v>
      </c>
      <c r="B579" t="s">
        <v>7047</v>
      </c>
      <c r="C579" t="s">
        <v>3878</v>
      </c>
      <c r="D579" t="s">
        <v>477</v>
      </c>
      <c r="E579">
        <v>2019</v>
      </c>
      <c r="F579" t="s">
        <v>3879</v>
      </c>
      <c r="G579" s="6" t="s">
        <v>3880</v>
      </c>
      <c r="H579" t="s">
        <v>3881</v>
      </c>
      <c r="I579" t="s">
        <v>3882</v>
      </c>
      <c r="K579" t="s">
        <v>3883</v>
      </c>
      <c r="L579" t="s">
        <v>3884</v>
      </c>
      <c r="M579" t="s">
        <v>3885</v>
      </c>
      <c r="N579">
        <v>2019</v>
      </c>
      <c r="O579" s="1">
        <v>45783.306377314817</v>
      </c>
      <c r="P579" s="1">
        <v>45783.306377314817</v>
      </c>
      <c r="Y579" t="s">
        <v>3886</v>
      </c>
      <c r="AC579" t="s">
        <v>1167</v>
      </c>
      <c r="AD579" t="s">
        <v>3218</v>
      </c>
      <c r="AL579" t="s">
        <v>3887</v>
      </c>
      <c r="AP579" t="s">
        <v>3888</v>
      </c>
    </row>
    <row r="580" spans="1:74" x14ac:dyDescent="0.2">
      <c r="A580" t="s">
        <v>6684</v>
      </c>
      <c r="B580" t="s">
        <v>6685</v>
      </c>
      <c r="C580" t="s">
        <v>3073</v>
      </c>
      <c r="D580" t="s">
        <v>477</v>
      </c>
      <c r="E580">
        <v>2004</v>
      </c>
      <c r="F580" t="s">
        <v>3074</v>
      </c>
      <c r="G580" s="6" t="s">
        <v>3075</v>
      </c>
      <c r="H580" t="s">
        <v>3076</v>
      </c>
      <c r="I580" t="s">
        <v>3077</v>
      </c>
      <c r="K580" t="s">
        <v>3078</v>
      </c>
      <c r="L580" t="s">
        <v>3079</v>
      </c>
      <c r="M580" t="s">
        <v>3080</v>
      </c>
      <c r="N580">
        <v>2004</v>
      </c>
      <c r="O580" s="1">
        <v>45783.300173611111</v>
      </c>
      <c r="P580" s="1">
        <v>45783.300173611111</v>
      </c>
      <c r="R580" t="s">
        <v>3081</v>
      </c>
      <c r="AC580" t="s">
        <v>3082</v>
      </c>
      <c r="AE580" t="s">
        <v>645</v>
      </c>
      <c r="AH580" t="s">
        <v>646</v>
      </c>
      <c r="AL580" t="s">
        <v>3083</v>
      </c>
      <c r="AP580" t="s">
        <v>3084</v>
      </c>
      <c r="BV580" t="s">
        <v>3085</v>
      </c>
    </row>
    <row r="581" spans="1:74" x14ac:dyDescent="0.2">
      <c r="A581" t="s">
        <v>6684</v>
      </c>
      <c r="B581" t="s">
        <v>7035</v>
      </c>
      <c r="C581" t="s">
        <v>4465</v>
      </c>
      <c r="D581" t="s">
        <v>102</v>
      </c>
      <c r="E581">
        <v>2022</v>
      </c>
      <c r="F581" t="s">
        <v>4466</v>
      </c>
      <c r="G581" s="6" t="s">
        <v>4467</v>
      </c>
      <c r="H581" t="s">
        <v>877</v>
      </c>
      <c r="J581" t="s">
        <v>3279</v>
      </c>
      <c r="K581" t="s">
        <v>4468</v>
      </c>
      <c r="L581" t="s">
        <v>4469</v>
      </c>
      <c r="N581" t="s">
        <v>311</v>
      </c>
      <c r="O581" s="1">
        <v>45783.306377314817</v>
      </c>
      <c r="P581" s="1">
        <v>45783.474710648145</v>
      </c>
      <c r="T581" t="s">
        <v>3283</v>
      </c>
      <c r="U581">
        <v>167</v>
      </c>
      <c r="W581" t="s">
        <v>882</v>
      </c>
      <c r="AL581" t="s">
        <v>3284</v>
      </c>
      <c r="AP581" t="s">
        <v>4470</v>
      </c>
    </row>
    <row r="582" spans="1:74" x14ac:dyDescent="0.2">
      <c r="A582" t="s">
        <v>6684</v>
      </c>
      <c r="B582" t="s">
        <v>7035</v>
      </c>
      <c r="C582" t="s">
        <v>1119</v>
      </c>
      <c r="D582" t="s">
        <v>477</v>
      </c>
      <c r="E582">
        <v>2025</v>
      </c>
      <c r="F582" t="s">
        <v>1120</v>
      </c>
      <c r="G582" s="6" t="s">
        <v>1121</v>
      </c>
      <c r="H582" t="s">
        <v>780</v>
      </c>
      <c r="I582" t="s">
        <v>1122</v>
      </c>
      <c r="K582" t="s">
        <v>1123</v>
      </c>
      <c r="L582" t="s">
        <v>1124</v>
      </c>
      <c r="M582" t="s">
        <v>1125</v>
      </c>
      <c r="N582">
        <v>2025</v>
      </c>
      <c r="O582" s="1">
        <v>45783.300150462965</v>
      </c>
      <c r="P582" s="1">
        <v>45783.300150462965</v>
      </c>
      <c r="R582" s="4">
        <v>42370</v>
      </c>
      <c r="U582" t="s">
        <v>1126</v>
      </c>
      <c r="AC582" t="s">
        <v>787</v>
      </c>
      <c r="AE582" t="s">
        <v>645</v>
      </c>
      <c r="AH582" t="s">
        <v>646</v>
      </c>
      <c r="AL582" t="s">
        <v>788</v>
      </c>
      <c r="AP582" t="s">
        <v>1127</v>
      </c>
      <c r="AR582" t="s">
        <v>1128</v>
      </c>
      <c r="BV582" t="s">
        <v>791</v>
      </c>
    </row>
    <row r="583" spans="1:74" x14ac:dyDescent="0.2">
      <c r="A583" t="s">
        <v>6684</v>
      </c>
      <c r="B583" t="s">
        <v>6657</v>
      </c>
      <c r="C583" t="s">
        <v>1918</v>
      </c>
      <c r="D583" t="s">
        <v>102</v>
      </c>
      <c r="E583">
        <v>2021</v>
      </c>
      <c r="F583" t="s">
        <v>1919</v>
      </c>
      <c r="G583" s="6" t="s">
        <v>1920</v>
      </c>
      <c r="H583" t="s">
        <v>909</v>
      </c>
      <c r="J583" t="s">
        <v>910</v>
      </c>
      <c r="K583" t="s">
        <v>1921</v>
      </c>
      <c r="L583" t="s">
        <v>1922</v>
      </c>
      <c r="M583" t="s">
        <v>1923</v>
      </c>
      <c r="N583">
        <v>2021</v>
      </c>
      <c r="O583" s="1">
        <v>45783.300162037034</v>
      </c>
      <c r="P583" s="1">
        <v>45783.300162037034</v>
      </c>
      <c r="R583" s="4">
        <v>45292</v>
      </c>
      <c r="T583">
        <v>5</v>
      </c>
      <c r="U583">
        <v>21</v>
      </c>
      <c r="W583" t="s">
        <v>909</v>
      </c>
      <c r="AE583" t="s">
        <v>645</v>
      </c>
      <c r="AH583" t="s">
        <v>646</v>
      </c>
      <c r="AL583" t="s">
        <v>1471</v>
      </c>
      <c r="AP583" t="s">
        <v>1924</v>
      </c>
    </row>
    <row r="584" spans="1:74" x14ac:dyDescent="0.2">
      <c r="A584" t="s">
        <v>6684</v>
      </c>
      <c r="B584" t="s">
        <v>6657</v>
      </c>
      <c r="C584" t="s">
        <v>1430</v>
      </c>
      <c r="D584" t="s">
        <v>477</v>
      </c>
      <c r="E584">
        <v>2022</v>
      </c>
      <c r="F584" t="s">
        <v>1431</v>
      </c>
      <c r="G584" s="6" t="s">
        <v>1432</v>
      </c>
      <c r="H584" t="s">
        <v>1433</v>
      </c>
      <c r="I584" t="s">
        <v>1434</v>
      </c>
      <c r="K584" t="s">
        <v>1435</v>
      </c>
      <c r="L584" t="s">
        <v>1436</v>
      </c>
      <c r="M584" t="s">
        <v>1437</v>
      </c>
      <c r="N584">
        <v>2022</v>
      </c>
      <c r="O584" s="1">
        <v>45783.300150462965</v>
      </c>
      <c r="P584" s="1">
        <v>45783.300150462965</v>
      </c>
      <c r="AC584" t="s">
        <v>681</v>
      </c>
      <c r="AE584" t="s">
        <v>645</v>
      </c>
      <c r="AH584" t="s">
        <v>646</v>
      </c>
      <c r="AL584" t="s">
        <v>1438</v>
      </c>
      <c r="AP584" t="s">
        <v>1439</v>
      </c>
      <c r="BV584" t="s">
        <v>1440</v>
      </c>
    </row>
    <row r="585" spans="1:74" x14ac:dyDescent="0.2">
      <c r="A585" t="s">
        <v>6684</v>
      </c>
      <c r="B585" t="s">
        <v>7035</v>
      </c>
      <c r="C585" t="s">
        <v>1981</v>
      </c>
      <c r="D585" t="s">
        <v>102</v>
      </c>
      <c r="E585">
        <v>2022</v>
      </c>
      <c r="F585" t="s">
        <v>1982</v>
      </c>
      <c r="G585" s="6" t="s">
        <v>1983</v>
      </c>
      <c r="H585" t="s">
        <v>877</v>
      </c>
      <c r="J585" t="s">
        <v>878</v>
      </c>
      <c r="K585" t="s">
        <v>1984</v>
      </c>
      <c r="L585" t="s">
        <v>1985</v>
      </c>
      <c r="M585" t="s">
        <v>1986</v>
      </c>
      <c r="N585">
        <v>2022</v>
      </c>
      <c r="O585" s="1">
        <v>45783.300162037034</v>
      </c>
      <c r="P585" s="1">
        <v>45783.300162037034</v>
      </c>
      <c r="U585">
        <v>159</v>
      </c>
      <c r="W585" t="s">
        <v>882</v>
      </c>
      <c r="AE585" t="s">
        <v>645</v>
      </c>
      <c r="AH585" t="s">
        <v>646</v>
      </c>
      <c r="AL585" t="s">
        <v>883</v>
      </c>
      <c r="AP585" t="s">
        <v>1987</v>
      </c>
    </row>
    <row r="586" spans="1:74" x14ac:dyDescent="0.2">
      <c r="A586" t="s">
        <v>6684</v>
      </c>
      <c r="B586" t="s">
        <v>7035</v>
      </c>
      <c r="C586" t="s">
        <v>4735</v>
      </c>
      <c r="D586" t="s">
        <v>477</v>
      </c>
      <c r="E586">
        <v>2021</v>
      </c>
      <c r="F586" t="s">
        <v>4736</v>
      </c>
      <c r="G586" s="6" t="s">
        <v>4737</v>
      </c>
      <c r="H586" t="s">
        <v>4738</v>
      </c>
      <c r="I586" t="s">
        <v>4739</v>
      </c>
      <c r="K586" t="s">
        <v>4740</v>
      </c>
      <c r="L586" t="s">
        <v>4741</v>
      </c>
      <c r="M586" t="s">
        <v>4742</v>
      </c>
      <c r="N586">
        <v>2021</v>
      </c>
      <c r="O586" s="1">
        <v>45783.306377314817</v>
      </c>
      <c r="P586" s="1">
        <v>45783.466898148145</v>
      </c>
      <c r="Y586" t="s">
        <v>4743</v>
      </c>
      <c r="AC586" t="s">
        <v>1167</v>
      </c>
      <c r="AD586" t="s">
        <v>3218</v>
      </c>
      <c r="AL586" t="s">
        <v>4744</v>
      </c>
      <c r="AP586" t="s">
        <v>4745</v>
      </c>
    </row>
    <row r="587" spans="1:74" x14ac:dyDescent="0.2">
      <c r="A587" t="s">
        <v>6684</v>
      </c>
      <c r="B587" t="s">
        <v>7035</v>
      </c>
      <c r="C587" t="s">
        <v>1593</v>
      </c>
      <c r="D587" t="s">
        <v>102</v>
      </c>
      <c r="E587">
        <v>2020</v>
      </c>
      <c r="F587" t="s">
        <v>1594</v>
      </c>
      <c r="G587" s="6" t="s">
        <v>1595</v>
      </c>
      <c r="H587" t="s">
        <v>1596</v>
      </c>
      <c r="J587" t="s">
        <v>1597</v>
      </c>
      <c r="K587" t="s">
        <v>1598</v>
      </c>
      <c r="L587" t="s">
        <v>1599</v>
      </c>
      <c r="M587" t="s">
        <v>1600</v>
      </c>
      <c r="N587">
        <v>2020</v>
      </c>
      <c r="O587" s="1">
        <v>45783.300150462965</v>
      </c>
      <c r="P587" s="1">
        <v>45783.300150462965</v>
      </c>
      <c r="R587" t="s">
        <v>1601</v>
      </c>
      <c r="U587">
        <v>72</v>
      </c>
      <c r="W587" t="s">
        <v>1602</v>
      </c>
      <c r="AE587" t="s">
        <v>645</v>
      </c>
      <c r="AH587" t="s">
        <v>646</v>
      </c>
      <c r="AL587" t="s">
        <v>706</v>
      </c>
      <c r="AP587" t="s">
        <v>1603</v>
      </c>
    </row>
    <row r="588" spans="1:74" x14ac:dyDescent="0.2">
      <c r="A588" t="s">
        <v>6684</v>
      </c>
      <c r="B588" t="s">
        <v>7035</v>
      </c>
      <c r="C588" t="s">
        <v>5547</v>
      </c>
      <c r="D588" t="s">
        <v>477</v>
      </c>
      <c r="E588">
        <v>2019</v>
      </c>
      <c r="F588" t="s">
        <v>5548</v>
      </c>
      <c r="G588" s="6" t="s">
        <v>5549</v>
      </c>
      <c r="H588" t="s">
        <v>5550</v>
      </c>
      <c r="I588" t="s">
        <v>5551</v>
      </c>
      <c r="K588" t="s">
        <v>5552</v>
      </c>
      <c r="L588" t="s">
        <v>5553</v>
      </c>
      <c r="N588" t="s">
        <v>4089</v>
      </c>
      <c r="O588" s="1">
        <v>45783.311562499999</v>
      </c>
      <c r="P588" s="1">
        <v>45783.311562499999</v>
      </c>
      <c r="Q588" s="1">
        <v>45783.311562499999</v>
      </c>
      <c r="R588" t="s">
        <v>5554</v>
      </c>
      <c r="AC588" t="s">
        <v>5107</v>
      </c>
      <c r="AD588" t="s">
        <v>5555</v>
      </c>
      <c r="AF588" t="s">
        <v>5140</v>
      </c>
      <c r="AJ588" t="s">
        <v>98</v>
      </c>
      <c r="AN588" t="s">
        <v>5556</v>
      </c>
      <c r="BV588" t="s">
        <v>5550</v>
      </c>
    </row>
    <row r="589" spans="1:74" x14ac:dyDescent="0.2">
      <c r="A589" t="s">
        <v>7034</v>
      </c>
      <c r="B589" t="s">
        <v>6665</v>
      </c>
      <c r="C589" t="s">
        <v>5592</v>
      </c>
      <c r="D589" t="s">
        <v>477</v>
      </c>
      <c r="E589">
        <v>2022</v>
      </c>
      <c r="F589" t="s">
        <v>5593</v>
      </c>
      <c r="G589" s="6" t="s">
        <v>5594</v>
      </c>
      <c r="H589" t="s">
        <v>5595</v>
      </c>
      <c r="I589" t="s">
        <v>5596</v>
      </c>
      <c r="K589" t="s">
        <v>5597</v>
      </c>
      <c r="L589" t="s">
        <v>5598</v>
      </c>
      <c r="N589" s="2">
        <v>44825</v>
      </c>
      <c r="O589" s="1">
        <v>45783.311643518522</v>
      </c>
      <c r="P589" s="1">
        <v>45783.311643518522</v>
      </c>
      <c r="Q589" s="1">
        <v>45783.311643518522</v>
      </c>
      <c r="R589" t="s">
        <v>5599</v>
      </c>
      <c r="AC589" t="s">
        <v>5107</v>
      </c>
      <c r="AD589" t="s">
        <v>5600</v>
      </c>
      <c r="AF589" t="s">
        <v>5109</v>
      </c>
      <c r="AJ589" t="s">
        <v>98</v>
      </c>
      <c r="BV589" t="s">
        <v>5595</v>
      </c>
    </row>
    <row r="590" spans="1:74" x14ac:dyDescent="0.2">
      <c r="A590" t="s">
        <v>6684</v>
      </c>
      <c r="B590" t="s">
        <v>7035</v>
      </c>
      <c r="C590" t="s">
        <v>1040</v>
      </c>
      <c r="D590" t="s">
        <v>477</v>
      </c>
      <c r="E590">
        <v>2023</v>
      </c>
      <c r="F590" t="s">
        <v>1041</v>
      </c>
      <c r="G590" s="6" t="s">
        <v>1042</v>
      </c>
      <c r="H590" t="s">
        <v>1043</v>
      </c>
      <c r="I590" t="s">
        <v>1044</v>
      </c>
      <c r="K590" t="s">
        <v>1045</v>
      </c>
      <c r="L590" t="s">
        <v>1046</v>
      </c>
      <c r="M590" t="s">
        <v>1047</v>
      </c>
      <c r="N590">
        <v>2023</v>
      </c>
      <c r="O590" s="1">
        <v>45783.300150462965</v>
      </c>
      <c r="P590" s="1">
        <v>45783.300150462965</v>
      </c>
      <c r="R590" t="s">
        <v>1048</v>
      </c>
      <c r="U590" t="s">
        <v>1049</v>
      </c>
      <c r="AC590" t="s">
        <v>787</v>
      </c>
      <c r="AE590" t="s">
        <v>645</v>
      </c>
      <c r="AH590" t="s">
        <v>646</v>
      </c>
      <c r="AL590" t="s">
        <v>1050</v>
      </c>
      <c r="AP590" t="s">
        <v>1051</v>
      </c>
      <c r="AR590" t="s">
        <v>1052</v>
      </c>
      <c r="BV590" t="s">
        <v>1053</v>
      </c>
    </row>
    <row r="591" spans="1:74" x14ac:dyDescent="0.2">
      <c r="A591" t="s">
        <v>6684</v>
      </c>
      <c r="B591" t="s">
        <v>7035</v>
      </c>
      <c r="C591" t="s">
        <v>3233</v>
      </c>
      <c r="D591" t="s">
        <v>477</v>
      </c>
      <c r="E591">
        <v>2024</v>
      </c>
      <c r="F591" t="s">
        <v>3234</v>
      </c>
      <c r="G591" s="6" t="s">
        <v>3235</v>
      </c>
      <c r="H591" t="s">
        <v>3236</v>
      </c>
      <c r="I591" t="s">
        <v>3237</v>
      </c>
      <c r="K591" t="s">
        <v>3238</v>
      </c>
      <c r="L591" t="s">
        <v>3239</v>
      </c>
      <c r="M591" t="s">
        <v>3240</v>
      </c>
      <c r="N591">
        <v>2024</v>
      </c>
      <c r="O591" s="1">
        <v>45783.293055555558</v>
      </c>
      <c r="P591" s="1">
        <v>45784.354108796295</v>
      </c>
      <c r="R591" t="s">
        <v>3241</v>
      </c>
      <c r="U591">
        <v>15445</v>
      </c>
      <c r="AC591" t="s">
        <v>3194</v>
      </c>
      <c r="AD591" t="s">
        <v>589</v>
      </c>
      <c r="AL591" t="s">
        <v>3242</v>
      </c>
      <c r="AP591" t="s">
        <v>3243</v>
      </c>
    </row>
    <row r="592" spans="1:74" x14ac:dyDescent="0.2">
      <c r="A592" t="s">
        <v>6684</v>
      </c>
      <c r="B592" t="s">
        <v>6685</v>
      </c>
      <c r="C592" t="s">
        <v>6543</v>
      </c>
      <c r="D592" t="s">
        <v>477</v>
      </c>
      <c r="E592">
        <v>2024</v>
      </c>
      <c r="F592" t="s">
        <v>6544</v>
      </c>
      <c r="G592" s="6" t="s">
        <v>6545</v>
      </c>
      <c r="H592" t="s">
        <v>6546</v>
      </c>
      <c r="I592" t="s">
        <v>6547</v>
      </c>
      <c r="K592" t="s">
        <v>6548</v>
      </c>
      <c r="L592" t="s">
        <v>6549</v>
      </c>
      <c r="N592" s="2">
        <v>45308</v>
      </c>
      <c r="O592" s="1">
        <v>45783.313738425924</v>
      </c>
      <c r="P592" s="1">
        <v>45783.411562499998</v>
      </c>
      <c r="Q592" s="1">
        <v>45783.313738425924</v>
      </c>
      <c r="R592" s="3">
        <v>45931</v>
      </c>
      <c r="X592" t="s">
        <v>6550</v>
      </c>
      <c r="AC592" t="s">
        <v>5107</v>
      </c>
      <c r="AD592" t="s">
        <v>5430</v>
      </c>
      <c r="AF592" t="s">
        <v>5109</v>
      </c>
      <c r="AJ592" t="s">
        <v>98</v>
      </c>
      <c r="AP592" t="s">
        <v>6551</v>
      </c>
      <c r="BV592" t="s">
        <v>6546</v>
      </c>
    </row>
    <row r="593" spans="1:74" x14ac:dyDescent="0.2">
      <c r="A593" t="s">
        <v>7034</v>
      </c>
      <c r="B593" t="s">
        <v>7047</v>
      </c>
      <c r="C593" t="s">
        <v>5091</v>
      </c>
      <c r="D593" t="s">
        <v>477</v>
      </c>
      <c r="E593">
        <v>1999</v>
      </c>
      <c r="F593" t="s">
        <v>5092</v>
      </c>
      <c r="G593" s="6" t="s">
        <v>5093</v>
      </c>
      <c r="H593" t="s">
        <v>5094</v>
      </c>
      <c r="I593" t="s">
        <v>5095</v>
      </c>
      <c r="M593" t="s">
        <v>5096</v>
      </c>
      <c r="N593">
        <v>1999</v>
      </c>
      <c r="O593" s="1">
        <v>45783.306388888886</v>
      </c>
      <c r="P593" s="1">
        <v>45783.306388888886</v>
      </c>
      <c r="R593">
        <v>96</v>
      </c>
      <c r="Y593" t="s">
        <v>5097</v>
      </c>
      <c r="AC593" t="s">
        <v>1895</v>
      </c>
      <c r="AD593" t="s">
        <v>3867</v>
      </c>
      <c r="AP593" t="s">
        <v>5098</v>
      </c>
    </row>
    <row r="594" spans="1:74" x14ac:dyDescent="0.2">
      <c r="A594" t="s">
        <v>6684</v>
      </c>
      <c r="B594" t="s">
        <v>7035</v>
      </c>
      <c r="C594" t="s">
        <v>730</v>
      </c>
      <c r="D594" t="s">
        <v>102</v>
      </c>
      <c r="E594">
        <v>2023</v>
      </c>
      <c r="F594" t="s">
        <v>731</v>
      </c>
      <c r="G594" s="6" t="s">
        <v>732</v>
      </c>
      <c r="H594" t="s">
        <v>733</v>
      </c>
      <c r="J594" t="s">
        <v>734</v>
      </c>
      <c r="K594" t="s">
        <v>735</v>
      </c>
      <c r="L594" t="s">
        <v>736</v>
      </c>
      <c r="M594" t="s">
        <v>737</v>
      </c>
      <c r="N594">
        <v>2023</v>
      </c>
      <c r="O594" s="1">
        <v>45783.300150462965</v>
      </c>
      <c r="P594" s="1">
        <v>45783.300150462965</v>
      </c>
      <c r="U594">
        <v>113</v>
      </c>
      <c r="W594" t="s">
        <v>738</v>
      </c>
      <c r="AE594" t="s">
        <v>645</v>
      </c>
      <c r="AH594" t="s">
        <v>646</v>
      </c>
      <c r="AL594" t="s">
        <v>706</v>
      </c>
      <c r="AP594" t="s">
        <v>739</v>
      </c>
    </row>
    <row r="595" spans="1:74" x14ac:dyDescent="0.2">
      <c r="A595" t="s">
        <v>6684</v>
      </c>
      <c r="B595" t="s">
        <v>6657</v>
      </c>
      <c r="C595" t="s">
        <v>2772</v>
      </c>
      <c r="D595" t="s">
        <v>102</v>
      </c>
      <c r="E595">
        <v>2018</v>
      </c>
      <c r="F595" t="s">
        <v>2773</v>
      </c>
      <c r="G595" s="6" t="s">
        <v>2774</v>
      </c>
      <c r="H595" t="s">
        <v>2775</v>
      </c>
      <c r="J595" t="s">
        <v>2776</v>
      </c>
      <c r="K595" t="s">
        <v>2777</v>
      </c>
      <c r="L595" t="s">
        <v>2778</v>
      </c>
      <c r="M595" t="s">
        <v>2779</v>
      </c>
      <c r="N595">
        <v>2018</v>
      </c>
      <c r="O595" s="1">
        <v>45783.300162037034</v>
      </c>
      <c r="P595" s="1">
        <v>45783.300162037034</v>
      </c>
      <c r="T595">
        <v>4</v>
      </c>
      <c r="U595">
        <v>37</v>
      </c>
      <c r="W595" t="s">
        <v>2780</v>
      </c>
      <c r="AE595" t="s">
        <v>645</v>
      </c>
      <c r="AH595" t="s">
        <v>646</v>
      </c>
      <c r="AL595" t="s">
        <v>1340</v>
      </c>
      <c r="AP595" t="s">
        <v>2781</v>
      </c>
    </row>
    <row r="596" spans="1:74" x14ac:dyDescent="0.2">
      <c r="A596" t="s">
        <v>6684</v>
      </c>
      <c r="B596" t="s">
        <v>6657</v>
      </c>
      <c r="C596" t="s">
        <v>2948</v>
      </c>
      <c r="D596" t="s">
        <v>102</v>
      </c>
      <c r="E596">
        <v>2015</v>
      </c>
      <c r="F596" t="s">
        <v>2949</v>
      </c>
      <c r="G596" s="6" t="s">
        <v>2950</v>
      </c>
      <c r="H596" t="s">
        <v>2951</v>
      </c>
      <c r="J596" t="s">
        <v>2952</v>
      </c>
      <c r="K596" t="s">
        <v>2953</v>
      </c>
      <c r="L596" t="s">
        <v>2954</v>
      </c>
      <c r="M596" t="s">
        <v>2955</v>
      </c>
      <c r="N596">
        <v>2015</v>
      </c>
      <c r="O596" s="1">
        <v>45783.300173611111</v>
      </c>
      <c r="P596" s="1">
        <v>45783.300173611111</v>
      </c>
      <c r="R596" t="s">
        <v>2956</v>
      </c>
      <c r="U596">
        <v>40</v>
      </c>
      <c r="W596" t="s">
        <v>2957</v>
      </c>
      <c r="AE596" t="s">
        <v>645</v>
      </c>
      <c r="AH596" t="s">
        <v>646</v>
      </c>
      <c r="AL596" t="s">
        <v>706</v>
      </c>
      <c r="AP596" t="s">
        <v>2958</v>
      </c>
    </row>
    <row r="597" spans="1:74" x14ac:dyDescent="0.2">
      <c r="A597" t="s">
        <v>6684</v>
      </c>
      <c r="B597" t="s">
        <v>6657</v>
      </c>
      <c r="C597" t="s">
        <v>2534</v>
      </c>
      <c r="D597" t="s">
        <v>477</v>
      </c>
      <c r="E597">
        <v>2019</v>
      </c>
      <c r="F597" t="s">
        <v>2535</v>
      </c>
      <c r="G597" s="6" t="s">
        <v>2536</v>
      </c>
      <c r="H597" t="s">
        <v>2537</v>
      </c>
      <c r="I597" t="s">
        <v>2538</v>
      </c>
      <c r="K597" t="s">
        <v>2539</v>
      </c>
      <c r="L597" t="s">
        <v>2540</v>
      </c>
      <c r="M597" t="s">
        <v>2541</v>
      </c>
      <c r="N597">
        <v>2019</v>
      </c>
      <c r="O597" s="1">
        <v>45783.300162037034</v>
      </c>
      <c r="P597" s="1">
        <v>45783.300162037034</v>
      </c>
      <c r="R597" t="s">
        <v>2542</v>
      </c>
      <c r="AC597" t="s">
        <v>681</v>
      </c>
      <c r="AE597" t="s">
        <v>645</v>
      </c>
      <c r="AH597" t="s">
        <v>646</v>
      </c>
      <c r="AL597" t="s">
        <v>2543</v>
      </c>
      <c r="AP597" t="s">
        <v>2544</v>
      </c>
      <c r="BV597" t="s">
        <v>2545</v>
      </c>
    </row>
    <row r="598" spans="1:74" x14ac:dyDescent="0.2">
      <c r="A598" t="s">
        <v>6684</v>
      </c>
      <c r="B598" t="s">
        <v>7035</v>
      </c>
      <c r="C598" t="s">
        <v>3930</v>
      </c>
      <c r="D598" t="s">
        <v>477</v>
      </c>
      <c r="E598">
        <v>2020</v>
      </c>
      <c r="F598" t="s">
        <v>3931</v>
      </c>
      <c r="G598" s="6" t="s">
        <v>3932</v>
      </c>
      <c r="H598" t="s">
        <v>3933</v>
      </c>
      <c r="I598" t="s">
        <v>3934</v>
      </c>
      <c r="K598" t="s">
        <v>3935</v>
      </c>
      <c r="L598" t="s">
        <v>3936</v>
      </c>
      <c r="M598" t="s">
        <v>3937</v>
      </c>
      <c r="N598">
        <v>2020</v>
      </c>
      <c r="O598" s="1">
        <v>45783.306377314817</v>
      </c>
      <c r="P598" s="1">
        <v>45783.306377314817</v>
      </c>
      <c r="R598" t="s">
        <v>3690</v>
      </c>
      <c r="AC598" t="s">
        <v>3194</v>
      </c>
      <c r="AD598" t="s">
        <v>589</v>
      </c>
      <c r="AL598" t="s">
        <v>3206</v>
      </c>
      <c r="AP598" t="s">
        <v>3938</v>
      </c>
    </row>
    <row r="599" spans="1:74" x14ac:dyDescent="0.2">
      <c r="A599" t="s">
        <v>6684</v>
      </c>
      <c r="B599" t="s">
        <v>6685</v>
      </c>
      <c r="C599" t="s">
        <v>6436</v>
      </c>
      <c r="D599" t="s">
        <v>477</v>
      </c>
      <c r="E599">
        <v>2024</v>
      </c>
      <c r="F599" t="s">
        <v>6437</v>
      </c>
      <c r="G599" s="6" t="s">
        <v>6438</v>
      </c>
      <c r="H599" t="s">
        <v>6439</v>
      </c>
      <c r="I599" t="s">
        <v>6440</v>
      </c>
      <c r="K599" t="s">
        <v>6441</v>
      </c>
      <c r="L599" t="s">
        <v>6442</v>
      </c>
      <c r="N599" s="2">
        <v>45597</v>
      </c>
      <c r="O599" s="1">
        <v>45783.313576388886</v>
      </c>
      <c r="P599" s="1">
        <v>45783.466006944444</v>
      </c>
      <c r="Q599" s="1">
        <v>45783.313576388886</v>
      </c>
      <c r="R599" t="s">
        <v>6443</v>
      </c>
      <c r="AC599" t="s">
        <v>5107</v>
      </c>
      <c r="AD599" t="s">
        <v>3381</v>
      </c>
      <c r="AF599" t="s">
        <v>5109</v>
      </c>
      <c r="AJ599" t="s">
        <v>98</v>
      </c>
      <c r="AP599" t="s">
        <v>6444</v>
      </c>
      <c r="BV599" t="s">
        <v>6445</v>
      </c>
    </row>
    <row r="600" spans="1:74" x14ac:dyDescent="0.2">
      <c r="A600" t="s">
        <v>6684</v>
      </c>
      <c r="B600" t="s">
        <v>6685</v>
      </c>
      <c r="C600" t="s">
        <v>1453</v>
      </c>
      <c r="D600" t="s">
        <v>102</v>
      </c>
      <c r="E600">
        <v>2022</v>
      </c>
      <c r="F600" t="s">
        <v>1454</v>
      </c>
      <c r="G600" s="6" t="s">
        <v>1455</v>
      </c>
      <c r="H600" t="s">
        <v>1456</v>
      </c>
      <c r="J600" t="s">
        <v>1457</v>
      </c>
      <c r="K600" t="s">
        <v>1458</v>
      </c>
      <c r="L600" t="s">
        <v>1459</v>
      </c>
      <c r="M600" t="s">
        <v>1460</v>
      </c>
      <c r="N600">
        <v>2022</v>
      </c>
      <c r="O600" s="1">
        <v>45783.300150462965</v>
      </c>
      <c r="P600" s="1">
        <v>45783.300150462965</v>
      </c>
      <c r="R600" t="s">
        <v>1461</v>
      </c>
      <c r="T600">
        <v>6</v>
      </c>
      <c r="U600">
        <v>34</v>
      </c>
      <c r="W600" t="s">
        <v>1462</v>
      </c>
      <c r="AE600" t="s">
        <v>645</v>
      </c>
      <c r="AH600" t="s">
        <v>646</v>
      </c>
      <c r="AL600" t="s">
        <v>1463</v>
      </c>
      <c r="AP600" t="s">
        <v>1464</v>
      </c>
    </row>
    <row r="601" spans="1:74" x14ac:dyDescent="0.2">
      <c r="A601" t="s">
        <v>7034</v>
      </c>
      <c r="B601" t="s">
        <v>6656</v>
      </c>
      <c r="C601" t="s">
        <v>1417</v>
      </c>
      <c r="D601" t="s">
        <v>477</v>
      </c>
      <c r="E601">
        <v>2024</v>
      </c>
      <c r="F601" t="s">
        <v>1418</v>
      </c>
      <c r="G601" s="6" t="s">
        <v>1419</v>
      </c>
      <c r="H601" t="s">
        <v>1420</v>
      </c>
      <c r="I601" t="s">
        <v>1421</v>
      </c>
      <c r="K601" t="s">
        <v>1422</v>
      </c>
      <c r="L601" t="s">
        <v>1423</v>
      </c>
      <c r="M601" t="s">
        <v>1424</v>
      </c>
      <c r="N601">
        <v>2024</v>
      </c>
      <c r="O601" s="1">
        <v>45783.300150462965</v>
      </c>
      <c r="P601" s="1">
        <v>45783.300150462965</v>
      </c>
      <c r="R601" t="s">
        <v>1425</v>
      </c>
      <c r="U601">
        <v>68</v>
      </c>
      <c r="AC601" t="s">
        <v>1426</v>
      </c>
      <c r="AE601" t="s">
        <v>645</v>
      </c>
      <c r="AH601" t="s">
        <v>646</v>
      </c>
      <c r="AL601" t="s">
        <v>1427</v>
      </c>
      <c r="AP601" t="s">
        <v>1428</v>
      </c>
      <c r="BV601" t="s">
        <v>1429</v>
      </c>
    </row>
    <row r="602" spans="1:74" x14ac:dyDescent="0.2">
      <c r="A602" t="s">
        <v>6684</v>
      </c>
      <c r="B602" t="s">
        <v>7035</v>
      </c>
      <c r="C602" t="s">
        <v>3857</v>
      </c>
      <c r="D602" t="s">
        <v>477</v>
      </c>
      <c r="E602">
        <v>2006</v>
      </c>
      <c r="F602" t="s">
        <v>3858</v>
      </c>
      <c r="G602" s="6" t="s">
        <v>3859</v>
      </c>
      <c r="H602" t="s">
        <v>3860</v>
      </c>
      <c r="I602" t="s">
        <v>3861</v>
      </c>
      <c r="K602" t="s">
        <v>3862</v>
      </c>
      <c r="L602" t="s">
        <v>3863</v>
      </c>
      <c r="M602" t="s">
        <v>3864</v>
      </c>
      <c r="N602">
        <v>2006</v>
      </c>
      <c r="O602" s="1">
        <v>45783.30636574074</v>
      </c>
      <c r="P602" s="1">
        <v>45784.282094907408</v>
      </c>
      <c r="R602" t="s">
        <v>3865</v>
      </c>
      <c r="Y602" t="s">
        <v>3866</v>
      </c>
      <c r="AC602" t="s">
        <v>1895</v>
      </c>
      <c r="AD602" t="s">
        <v>3867</v>
      </c>
      <c r="BV602" t="s">
        <v>3868</v>
      </c>
    </row>
    <row r="603" spans="1:74" x14ac:dyDescent="0.2">
      <c r="A603" t="s">
        <v>6684</v>
      </c>
      <c r="B603" t="s">
        <v>7035</v>
      </c>
      <c r="C603" t="s">
        <v>156</v>
      </c>
      <c r="D603" t="s">
        <v>102</v>
      </c>
      <c r="E603">
        <v>2024</v>
      </c>
      <c r="F603" t="s">
        <v>157</v>
      </c>
      <c r="G603" s="6" t="s">
        <v>158</v>
      </c>
      <c r="H603" t="s">
        <v>159</v>
      </c>
      <c r="J603" t="s">
        <v>160</v>
      </c>
      <c r="K603" t="s">
        <v>161</v>
      </c>
      <c r="L603" t="s">
        <v>162</v>
      </c>
      <c r="N603" t="s">
        <v>163</v>
      </c>
      <c r="O603" s="1">
        <v>45783.293032407404</v>
      </c>
      <c r="P603" s="1">
        <v>45783.469849537039</v>
      </c>
      <c r="Q603" s="1">
        <v>45783.293032407404</v>
      </c>
      <c r="R603">
        <v>6</v>
      </c>
      <c r="T603">
        <v>1</v>
      </c>
      <c r="U603">
        <v>28</v>
      </c>
      <c r="W603" t="s">
        <v>159</v>
      </c>
      <c r="X603" t="s">
        <v>164</v>
      </c>
      <c r="AE603" t="s">
        <v>97</v>
      </c>
      <c r="AJ603" t="s">
        <v>98</v>
      </c>
      <c r="AN603" t="s">
        <v>165</v>
      </c>
      <c r="AP603" t="s">
        <v>166</v>
      </c>
    </row>
    <row r="604" spans="1:74" x14ac:dyDescent="0.2">
      <c r="A604" t="s">
        <v>6684</v>
      </c>
      <c r="B604" t="s">
        <v>7035</v>
      </c>
      <c r="C604" t="s">
        <v>4263</v>
      </c>
      <c r="D604" t="s">
        <v>477</v>
      </c>
      <c r="E604">
        <v>2023</v>
      </c>
      <c r="F604" t="s">
        <v>4264</v>
      </c>
      <c r="G604" s="6" t="s">
        <v>4265</v>
      </c>
      <c r="H604" t="s">
        <v>4266</v>
      </c>
      <c r="I604" t="s">
        <v>4267</v>
      </c>
      <c r="K604" t="s">
        <v>4268</v>
      </c>
      <c r="L604" t="s">
        <v>4269</v>
      </c>
      <c r="M604" t="s">
        <v>4270</v>
      </c>
      <c r="N604">
        <v>2023</v>
      </c>
      <c r="O604" s="1">
        <v>45783.306377314817</v>
      </c>
      <c r="P604" s="1">
        <v>45783.306377314817</v>
      </c>
      <c r="R604" t="s">
        <v>4271</v>
      </c>
      <c r="AC604" t="s">
        <v>3194</v>
      </c>
      <c r="AD604" t="s">
        <v>589</v>
      </c>
      <c r="AL604" t="s">
        <v>4272</v>
      </c>
      <c r="AP604" t="s">
        <v>4273</v>
      </c>
    </row>
    <row r="605" spans="1:74" x14ac:dyDescent="0.2">
      <c r="A605" t="s">
        <v>6684</v>
      </c>
      <c r="B605" t="s">
        <v>6653</v>
      </c>
      <c r="C605" t="s">
        <v>3741</v>
      </c>
      <c r="D605" t="s">
        <v>102</v>
      </c>
      <c r="E605">
        <v>2025</v>
      </c>
      <c r="F605" t="s">
        <v>3742</v>
      </c>
      <c r="G605" s="6" t="s">
        <v>3743</v>
      </c>
      <c r="H605" t="s">
        <v>3258</v>
      </c>
      <c r="K605" t="s">
        <v>3744</v>
      </c>
      <c r="L605" t="s">
        <v>3745</v>
      </c>
      <c r="M605" t="s">
        <v>3746</v>
      </c>
      <c r="N605" t="s">
        <v>3262</v>
      </c>
      <c r="O605" s="1">
        <v>45783.30636574074</v>
      </c>
      <c r="P605" s="1">
        <v>45783.30636574074</v>
      </c>
      <c r="T605">
        <v>2</v>
      </c>
      <c r="U605">
        <v>9</v>
      </c>
      <c r="AL605" t="s">
        <v>3263</v>
      </c>
      <c r="AP605" t="s">
        <v>3747</v>
      </c>
    </row>
    <row r="606" spans="1:74" x14ac:dyDescent="0.2">
      <c r="A606" t="s">
        <v>6684</v>
      </c>
      <c r="B606" t="s">
        <v>7035</v>
      </c>
      <c r="C606" t="s">
        <v>5961</v>
      </c>
      <c r="D606" t="s">
        <v>477</v>
      </c>
      <c r="E606">
        <v>2023</v>
      </c>
      <c r="F606" t="s">
        <v>5962</v>
      </c>
      <c r="G606" s="6" t="s">
        <v>5963</v>
      </c>
      <c r="H606" t="s">
        <v>5964</v>
      </c>
      <c r="I606" t="s">
        <v>5965</v>
      </c>
      <c r="K606" t="s">
        <v>5966</v>
      </c>
      <c r="L606" t="s">
        <v>5967</v>
      </c>
      <c r="N606" s="2">
        <v>44989</v>
      </c>
      <c r="O606" s="1">
        <v>45783.3121875</v>
      </c>
      <c r="P606" s="1">
        <v>45783.3121875</v>
      </c>
      <c r="Q606" s="1">
        <v>45783.3121875</v>
      </c>
      <c r="R606" s="4">
        <v>41275</v>
      </c>
      <c r="AC606" t="s">
        <v>5107</v>
      </c>
      <c r="AD606" t="s">
        <v>5968</v>
      </c>
      <c r="AF606" t="s">
        <v>5109</v>
      </c>
      <c r="AJ606" t="s">
        <v>98</v>
      </c>
      <c r="BV606" t="s">
        <v>5964</v>
      </c>
    </row>
    <row r="607" spans="1:74" x14ac:dyDescent="0.2">
      <c r="A607" t="s">
        <v>7034</v>
      </c>
      <c r="B607" t="s">
        <v>7054</v>
      </c>
      <c r="C607" t="s">
        <v>4988</v>
      </c>
      <c r="D607" t="s">
        <v>477</v>
      </c>
      <c r="E607">
        <v>2022</v>
      </c>
      <c r="F607" t="s">
        <v>4946</v>
      </c>
      <c r="G607" s="6" t="s">
        <v>4989</v>
      </c>
      <c r="H607" t="s">
        <v>4990</v>
      </c>
      <c r="I607" t="s">
        <v>4991</v>
      </c>
      <c r="K607" t="s">
        <v>4992</v>
      </c>
      <c r="L607" t="s">
        <v>4993</v>
      </c>
      <c r="M607" t="s">
        <v>4994</v>
      </c>
      <c r="N607">
        <v>2022</v>
      </c>
      <c r="O607" s="1">
        <v>45783.306388888886</v>
      </c>
      <c r="P607" s="1">
        <v>45783.306388888886</v>
      </c>
      <c r="R607" t="s">
        <v>4995</v>
      </c>
      <c r="Y607" t="s">
        <v>4996</v>
      </c>
      <c r="AC607" t="s">
        <v>1167</v>
      </c>
      <c r="AD607" t="s">
        <v>3218</v>
      </c>
      <c r="AL607" t="s">
        <v>4997</v>
      </c>
      <c r="AP607" t="s">
        <v>4998</v>
      </c>
    </row>
    <row r="608" spans="1:74" x14ac:dyDescent="0.2">
      <c r="A608" t="s">
        <v>6684</v>
      </c>
      <c r="B608" t="s">
        <v>7035</v>
      </c>
      <c r="C608" t="s">
        <v>5232</v>
      </c>
      <c r="D608" t="s">
        <v>477</v>
      </c>
      <c r="E608">
        <v>2019</v>
      </c>
      <c r="F608" t="s">
        <v>5233</v>
      </c>
      <c r="G608" s="6" t="s">
        <v>5234</v>
      </c>
      <c r="H608" t="s">
        <v>5235</v>
      </c>
      <c r="I608" t="s">
        <v>5236</v>
      </c>
      <c r="K608" t="s">
        <v>5237</v>
      </c>
      <c r="L608" t="s">
        <v>5238</v>
      </c>
      <c r="N608" t="s">
        <v>5239</v>
      </c>
      <c r="O608" s="1">
        <v>45783.311226851853</v>
      </c>
      <c r="P608" s="1">
        <v>45783.311226851853</v>
      </c>
      <c r="Q608" s="1">
        <v>45783.311226851853</v>
      </c>
      <c r="R608" t="s">
        <v>5240</v>
      </c>
      <c r="AC608" t="s">
        <v>5107</v>
      </c>
      <c r="AD608" t="s">
        <v>5241</v>
      </c>
      <c r="AF608" t="s">
        <v>5140</v>
      </c>
      <c r="AJ608" t="s">
        <v>98</v>
      </c>
      <c r="BV608" t="s">
        <v>5235</v>
      </c>
    </row>
    <row r="609" spans="1:74" x14ac:dyDescent="0.2">
      <c r="A609" t="s">
        <v>7034</v>
      </c>
      <c r="B609" t="s">
        <v>7047</v>
      </c>
      <c r="C609" t="s">
        <v>5031</v>
      </c>
      <c r="D609" t="s">
        <v>477</v>
      </c>
      <c r="E609">
        <v>2008</v>
      </c>
      <c r="F609" t="s">
        <v>5032</v>
      </c>
      <c r="G609" s="6" t="s">
        <v>5033</v>
      </c>
      <c r="H609" t="s">
        <v>5034</v>
      </c>
      <c r="I609" t="s">
        <v>5035</v>
      </c>
      <c r="K609" t="s">
        <v>5036</v>
      </c>
      <c r="L609" t="s">
        <v>5037</v>
      </c>
      <c r="M609" t="s">
        <v>5038</v>
      </c>
      <c r="N609">
        <v>2008</v>
      </c>
      <c r="O609" s="1">
        <v>45783.306388888886</v>
      </c>
      <c r="P609" s="1">
        <v>45783.306388888886</v>
      </c>
      <c r="R609" t="s">
        <v>5039</v>
      </c>
      <c r="Y609" t="s">
        <v>5040</v>
      </c>
      <c r="AC609" t="s">
        <v>1167</v>
      </c>
      <c r="AD609" t="s">
        <v>3218</v>
      </c>
      <c r="AL609" t="s">
        <v>5041</v>
      </c>
      <c r="AP609" t="s">
        <v>5042</v>
      </c>
    </row>
    <row r="610" spans="1:74" x14ac:dyDescent="0.2">
      <c r="A610" t="s">
        <v>6684</v>
      </c>
      <c r="B610" t="s">
        <v>7035</v>
      </c>
      <c r="C610" t="s">
        <v>2994</v>
      </c>
      <c r="D610" t="s">
        <v>102</v>
      </c>
      <c r="E610">
        <v>2015</v>
      </c>
      <c r="F610" t="s">
        <v>2995</v>
      </c>
      <c r="G610" s="6" t="s">
        <v>2996</v>
      </c>
      <c r="H610" t="s">
        <v>2997</v>
      </c>
      <c r="J610" t="s">
        <v>2998</v>
      </c>
      <c r="K610" t="s">
        <v>2999</v>
      </c>
      <c r="L610" t="s">
        <v>3000</v>
      </c>
      <c r="M610" t="s">
        <v>3001</v>
      </c>
      <c r="N610">
        <v>2015</v>
      </c>
      <c r="O610" s="1">
        <v>45783.300173611111</v>
      </c>
      <c r="P610" s="1">
        <v>45783.300173611111</v>
      </c>
      <c r="R610" t="s">
        <v>3002</v>
      </c>
      <c r="T610">
        <v>6</v>
      </c>
      <c r="U610">
        <v>152</v>
      </c>
      <c r="W610" t="s">
        <v>3003</v>
      </c>
      <c r="AE610" t="s">
        <v>645</v>
      </c>
      <c r="AH610" t="s">
        <v>646</v>
      </c>
      <c r="AL610" t="s">
        <v>2449</v>
      </c>
      <c r="AP610" t="s">
        <v>3004</v>
      </c>
    </row>
    <row r="611" spans="1:74" x14ac:dyDescent="0.2">
      <c r="A611" t="s">
        <v>7034</v>
      </c>
      <c r="B611" t="s">
        <v>7045</v>
      </c>
      <c r="C611" t="s">
        <v>3717</v>
      </c>
      <c r="D611" t="s">
        <v>477</v>
      </c>
      <c r="E611">
        <v>2015</v>
      </c>
      <c r="F611" t="s">
        <v>3718</v>
      </c>
      <c r="G611" s="6" t="s">
        <v>3719</v>
      </c>
      <c r="H611" t="s">
        <v>3720</v>
      </c>
      <c r="I611" t="s">
        <v>3721</v>
      </c>
      <c r="K611" t="s">
        <v>3722</v>
      </c>
      <c r="L611" t="s">
        <v>3723</v>
      </c>
      <c r="M611" t="s">
        <v>3724</v>
      </c>
      <c r="N611">
        <v>2015</v>
      </c>
      <c r="O611" s="1">
        <v>45783.30636574074</v>
      </c>
      <c r="P611" s="1">
        <v>45783.30636574074</v>
      </c>
      <c r="R611" t="s">
        <v>3725</v>
      </c>
      <c r="Y611" t="s">
        <v>3726</v>
      </c>
      <c r="AC611" t="s">
        <v>1167</v>
      </c>
      <c r="AD611" t="s">
        <v>3218</v>
      </c>
      <c r="AL611" t="s">
        <v>3727</v>
      </c>
      <c r="AP611" t="s">
        <v>3728</v>
      </c>
    </row>
    <row r="612" spans="1:74" x14ac:dyDescent="0.2">
      <c r="A612" t="s">
        <v>7033</v>
      </c>
      <c r="B612" t="s">
        <v>7041</v>
      </c>
      <c r="C612" t="s">
        <v>2982</v>
      </c>
      <c r="D612" t="s">
        <v>102</v>
      </c>
      <c r="E612">
        <v>2019</v>
      </c>
      <c r="F612" t="s">
        <v>2983</v>
      </c>
      <c r="G612" s="6" t="s">
        <v>2984</v>
      </c>
      <c r="H612" t="s">
        <v>2985</v>
      </c>
      <c r="J612" t="s">
        <v>2986</v>
      </c>
      <c r="K612" t="s">
        <v>2987</v>
      </c>
      <c r="L612" t="s">
        <v>2988</v>
      </c>
      <c r="M612" t="s">
        <v>2989</v>
      </c>
      <c r="N612">
        <v>2019</v>
      </c>
      <c r="O612" s="1">
        <v>45783.300173611111</v>
      </c>
      <c r="P612" s="1">
        <v>45783.300173611111</v>
      </c>
      <c r="R612" t="s">
        <v>2990</v>
      </c>
      <c r="T612">
        <v>1</v>
      </c>
      <c r="U612">
        <v>27</v>
      </c>
      <c r="W612" t="s">
        <v>2991</v>
      </c>
      <c r="AE612" t="s">
        <v>645</v>
      </c>
      <c r="AH612" t="s">
        <v>646</v>
      </c>
      <c r="AL612" t="s">
        <v>2992</v>
      </c>
      <c r="AP612" t="s">
        <v>2993</v>
      </c>
    </row>
    <row r="613" spans="1:74" x14ac:dyDescent="0.2">
      <c r="A613" t="s">
        <v>6684</v>
      </c>
      <c r="B613" t="s">
        <v>7036</v>
      </c>
      <c r="C613" t="s">
        <v>2104</v>
      </c>
      <c r="D613" t="s">
        <v>102</v>
      </c>
      <c r="E613">
        <v>2021</v>
      </c>
      <c r="F613" t="s">
        <v>2105</v>
      </c>
      <c r="G613" s="6" t="s">
        <v>2106</v>
      </c>
      <c r="H613" t="s">
        <v>2107</v>
      </c>
      <c r="J613" t="s">
        <v>2108</v>
      </c>
      <c r="K613" t="s">
        <v>2109</v>
      </c>
      <c r="L613" t="s">
        <v>2110</v>
      </c>
      <c r="M613" t="s">
        <v>2111</v>
      </c>
      <c r="N613">
        <v>2021</v>
      </c>
      <c r="O613" s="1">
        <v>45783.300162037034</v>
      </c>
      <c r="P613" s="1">
        <v>45783.300162037034</v>
      </c>
      <c r="R613" t="s">
        <v>2112</v>
      </c>
      <c r="T613">
        <v>2</v>
      </c>
      <c r="U613">
        <v>63</v>
      </c>
      <c r="W613" t="s">
        <v>2113</v>
      </c>
      <c r="AE613" t="s">
        <v>645</v>
      </c>
      <c r="AH613" t="s">
        <v>646</v>
      </c>
      <c r="AL613" t="s">
        <v>924</v>
      </c>
      <c r="AP613" t="s">
        <v>2114</v>
      </c>
    </row>
    <row r="614" spans="1:74" x14ac:dyDescent="0.2">
      <c r="A614" t="s">
        <v>6684</v>
      </c>
      <c r="B614" t="s">
        <v>6657</v>
      </c>
      <c r="C614" t="s">
        <v>4527</v>
      </c>
      <c r="D614" t="s">
        <v>102</v>
      </c>
      <c r="E614">
        <v>2022</v>
      </c>
      <c r="F614" t="s">
        <v>4528</v>
      </c>
      <c r="G614" s="6" t="s">
        <v>4529</v>
      </c>
      <c r="H614" t="s">
        <v>1087</v>
      </c>
      <c r="J614" t="s">
        <v>4530</v>
      </c>
      <c r="K614" t="s">
        <v>4531</v>
      </c>
      <c r="L614" t="s">
        <v>4532</v>
      </c>
      <c r="N614" t="s">
        <v>311</v>
      </c>
      <c r="O614" s="1">
        <v>45783.306377314817</v>
      </c>
      <c r="P614" s="1">
        <v>45783.411412037036</v>
      </c>
      <c r="T614" t="s">
        <v>3283</v>
      </c>
      <c r="U614">
        <v>226</v>
      </c>
      <c r="W614" t="s">
        <v>1092</v>
      </c>
      <c r="AL614" t="s">
        <v>4533</v>
      </c>
      <c r="AP614" t="s">
        <v>4534</v>
      </c>
    </row>
    <row r="615" spans="1:74" x14ac:dyDescent="0.2">
      <c r="A615" t="s">
        <v>7034</v>
      </c>
      <c r="B615" t="s">
        <v>7045</v>
      </c>
      <c r="C615" t="s">
        <v>5632</v>
      </c>
      <c r="D615" t="s">
        <v>477</v>
      </c>
      <c r="E615">
        <v>2018</v>
      </c>
      <c r="F615" t="s">
        <v>5633</v>
      </c>
      <c r="G615" s="6" t="s">
        <v>5634</v>
      </c>
      <c r="H615" t="s">
        <v>5635</v>
      </c>
      <c r="I615" t="s">
        <v>5636</v>
      </c>
      <c r="K615" t="s">
        <v>5637</v>
      </c>
      <c r="L615" t="s">
        <v>5638</v>
      </c>
      <c r="N615" t="s">
        <v>5639</v>
      </c>
      <c r="O615" s="1">
        <v>45783.311689814815</v>
      </c>
      <c r="P615" s="1">
        <v>45783.311689814815</v>
      </c>
      <c r="Q615" s="1">
        <v>45783.311689814815</v>
      </c>
      <c r="R615" t="s">
        <v>5640</v>
      </c>
      <c r="AC615" t="s">
        <v>5107</v>
      </c>
      <c r="AD615" t="s">
        <v>5641</v>
      </c>
      <c r="AJ615" t="s">
        <v>98</v>
      </c>
      <c r="BV615" t="s">
        <v>5635</v>
      </c>
    </row>
    <row r="616" spans="1:74" x14ac:dyDescent="0.2">
      <c r="A616" t="s">
        <v>6684</v>
      </c>
      <c r="B616" t="s">
        <v>6657</v>
      </c>
      <c r="C616" t="s">
        <v>2322</v>
      </c>
      <c r="D616" t="s">
        <v>102</v>
      </c>
      <c r="E616">
        <v>2014</v>
      </c>
      <c r="F616" t="s">
        <v>2323</v>
      </c>
      <c r="G616" s="6" t="s">
        <v>2324</v>
      </c>
      <c r="H616" t="s">
        <v>2325</v>
      </c>
      <c r="J616" t="s">
        <v>2326</v>
      </c>
      <c r="K616" t="s">
        <v>2327</v>
      </c>
      <c r="L616" t="s">
        <v>2328</v>
      </c>
      <c r="M616" t="s">
        <v>2329</v>
      </c>
      <c r="N616">
        <v>2014</v>
      </c>
      <c r="O616" s="1">
        <v>45783.300162037034</v>
      </c>
      <c r="P616" s="1">
        <v>45783.300162037034</v>
      </c>
      <c r="U616">
        <v>2014</v>
      </c>
      <c r="W616" t="s">
        <v>2330</v>
      </c>
      <c r="AE616" t="s">
        <v>645</v>
      </c>
      <c r="AH616" t="s">
        <v>646</v>
      </c>
      <c r="AL616" t="s">
        <v>2331</v>
      </c>
      <c r="AP616" t="s">
        <v>2332</v>
      </c>
    </row>
    <row r="617" spans="1:74" x14ac:dyDescent="0.2">
      <c r="A617" t="s">
        <v>6684</v>
      </c>
      <c r="B617" t="s">
        <v>7035</v>
      </c>
      <c r="C617" t="s">
        <v>5585</v>
      </c>
      <c r="D617" t="s">
        <v>477</v>
      </c>
      <c r="E617">
        <v>2024</v>
      </c>
      <c r="F617" t="s">
        <v>5586</v>
      </c>
      <c r="G617" s="6" t="s">
        <v>5587</v>
      </c>
      <c r="H617" t="s">
        <v>5523</v>
      </c>
      <c r="I617" t="s">
        <v>5524</v>
      </c>
      <c r="K617" t="s">
        <v>5588</v>
      </c>
      <c r="L617" t="s">
        <v>5589</v>
      </c>
      <c r="N617" s="2">
        <v>45367</v>
      </c>
      <c r="O617" s="1">
        <v>45783.311631944445</v>
      </c>
      <c r="P617" s="1">
        <v>45783.311631944445</v>
      </c>
      <c r="Q617" s="1">
        <v>45783.311631944445</v>
      </c>
      <c r="R617" t="s">
        <v>5590</v>
      </c>
      <c r="X617" t="s">
        <v>5591</v>
      </c>
      <c r="AC617" t="s">
        <v>5107</v>
      </c>
      <c r="AD617" t="s">
        <v>5509</v>
      </c>
      <c r="AF617" t="s">
        <v>5109</v>
      </c>
      <c r="AJ617" t="s">
        <v>98</v>
      </c>
      <c r="BV617" t="s">
        <v>5523</v>
      </c>
    </row>
    <row r="618" spans="1:74" x14ac:dyDescent="0.2">
      <c r="A618" t="s">
        <v>6684</v>
      </c>
      <c r="B618" t="s">
        <v>7035</v>
      </c>
      <c r="C618" t="s">
        <v>6319</v>
      </c>
      <c r="D618" t="s">
        <v>477</v>
      </c>
      <c r="E618">
        <v>2023</v>
      </c>
      <c r="F618" t="s">
        <v>6320</v>
      </c>
      <c r="G618" s="6" t="s">
        <v>6321</v>
      </c>
      <c r="H618" t="s">
        <v>6322</v>
      </c>
      <c r="I618" t="s">
        <v>6323</v>
      </c>
      <c r="K618" t="s">
        <v>6324</v>
      </c>
      <c r="L618" t="s">
        <v>6325</v>
      </c>
      <c r="N618" s="2">
        <v>45187</v>
      </c>
      <c r="O618" s="1">
        <v>45783.313460648147</v>
      </c>
      <c r="P618" s="1">
        <v>45783.313460648147</v>
      </c>
      <c r="Q618" s="1">
        <v>45783.313460648147</v>
      </c>
      <c r="R618" s="3">
        <v>45870</v>
      </c>
      <c r="AC618" t="s">
        <v>5107</v>
      </c>
      <c r="AD618" t="s">
        <v>6326</v>
      </c>
      <c r="AF618" t="s">
        <v>5109</v>
      </c>
      <c r="AJ618" t="s">
        <v>98</v>
      </c>
      <c r="BV618" t="s">
        <v>6322</v>
      </c>
    </row>
    <row r="619" spans="1:74" x14ac:dyDescent="0.2">
      <c r="A619" t="s">
        <v>6684</v>
      </c>
      <c r="B619" t="s">
        <v>6657</v>
      </c>
      <c r="C619" t="s">
        <v>752</v>
      </c>
      <c r="D619" t="s">
        <v>102</v>
      </c>
      <c r="E619">
        <v>2024</v>
      </c>
      <c r="F619" t="s">
        <v>753</v>
      </c>
      <c r="G619" s="6" t="s">
        <v>754</v>
      </c>
      <c r="H619" t="s">
        <v>755</v>
      </c>
      <c r="J619" t="s">
        <v>756</v>
      </c>
      <c r="K619" t="s">
        <v>757</v>
      </c>
      <c r="L619" t="s">
        <v>758</v>
      </c>
      <c r="M619" t="s">
        <v>759</v>
      </c>
      <c r="N619">
        <v>2024</v>
      </c>
      <c r="O619" s="1">
        <v>45783.300150462965</v>
      </c>
      <c r="P619" s="1">
        <v>45783.300150462965</v>
      </c>
      <c r="R619" t="s">
        <v>760</v>
      </c>
      <c r="T619">
        <v>6</v>
      </c>
      <c r="U619">
        <v>2678</v>
      </c>
      <c r="W619" t="s">
        <v>761</v>
      </c>
      <c r="AE619" t="s">
        <v>645</v>
      </c>
      <c r="AH619" t="s">
        <v>646</v>
      </c>
      <c r="AL619" t="s">
        <v>762</v>
      </c>
      <c r="AP619" t="s">
        <v>763</v>
      </c>
    </row>
    <row r="620" spans="1:74" x14ac:dyDescent="0.2">
      <c r="A620" t="s">
        <v>6684</v>
      </c>
      <c r="B620" t="s">
        <v>6657</v>
      </c>
      <c r="C620" t="s">
        <v>1094</v>
      </c>
      <c r="D620" t="s">
        <v>477</v>
      </c>
      <c r="E620">
        <v>2024</v>
      </c>
      <c r="F620" t="s">
        <v>1095</v>
      </c>
      <c r="G620" s="6" t="s">
        <v>1096</v>
      </c>
      <c r="H620" t="s">
        <v>1097</v>
      </c>
      <c r="I620" t="s">
        <v>1098</v>
      </c>
      <c r="K620" t="s">
        <v>1099</v>
      </c>
      <c r="L620" t="s">
        <v>1100</v>
      </c>
      <c r="M620" t="s">
        <v>1101</v>
      </c>
      <c r="N620">
        <v>2024</v>
      </c>
      <c r="O620" s="1">
        <v>45783.300150462965</v>
      </c>
      <c r="P620" s="1">
        <v>45783.300150462965</v>
      </c>
      <c r="R620" t="s">
        <v>1102</v>
      </c>
      <c r="AC620" t="s">
        <v>681</v>
      </c>
      <c r="AE620" t="s">
        <v>645</v>
      </c>
      <c r="AH620" t="s">
        <v>646</v>
      </c>
      <c r="AL620" t="s">
        <v>1103</v>
      </c>
      <c r="AP620" t="s">
        <v>1104</v>
      </c>
      <c r="BV620" t="s">
        <v>1105</v>
      </c>
    </row>
    <row r="621" spans="1:74" x14ac:dyDescent="0.2">
      <c r="A621" t="s">
        <v>7034</v>
      </c>
      <c r="B621" t="s">
        <v>7048</v>
      </c>
      <c r="C621" t="s">
        <v>4083</v>
      </c>
      <c r="D621" t="s">
        <v>102</v>
      </c>
      <c r="E621">
        <v>2019</v>
      </c>
      <c r="F621" t="s">
        <v>4084</v>
      </c>
      <c r="G621" s="6" t="s">
        <v>4085</v>
      </c>
      <c r="H621" t="s">
        <v>159</v>
      </c>
      <c r="J621" t="s">
        <v>4021</v>
      </c>
      <c r="K621" t="s">
        <v>4086</v>
      </c>
      <c r="L621" t="s">
        <v>4087</v>
      </c>
      <c r="M621" t="s">
        <v>4088</v>
      </c>
      <c r="N621" t="s">
        <v>4089</v>
      </c>
      <c r="O621" s="1">
        <v>45783.306377314817</v>
      </c>
      <c r="P621" s="1">
        <v>45784.288298611114</v>
      </c>
      <c r="R621" t="s">
        <v>4090</v>
      </c>
      <c r="T621">
        <v>1</v>
      </c>
      <c r="U621">
        <v>23</v>
      </c>
      <c r="AL621" t="s">
        <v>3897</v>
      </c>
      <c r="AP621" t="s">
        <v>4091</v>
      </c>
    </row>
    <row r="622" spans="1:74" x14ac:dyDescent="0.2">
      <c r="A622" t="s">
        <v>7034</v>
      </c>
      <c r="B622" t="s">
        <v>7048</v>
      </c>
      <c r="C622" t="s">
        <v>649</v>
      </c>
      <c r="D622" t="s">
        <v>102</v>
      </c>
      <c r="E622">
        <v>2024</v>
      </c>
      <c r="F622" t="s">
        <v>650</v>
      </c>
      <c r="G622" s="6" t="s">
        <v>651</v>
      </c>
      <c r="H622" t="s">
        <v>652</v>
      </c>
      <c r="J622" t="s">
        <v>653</v>
      </c>
      <c r="K622" t="s">
        <v>654</v>
      </c>
      <c r="L622" t="s">
        <v>655</v>
      </c>
      <c r="M622" t="s">
        <v>656</v>
      </c>
      <c r="N622">
        <v>2024</v>
      </c>
      <c r="O622" s="1">
        <v>45783.300138888888</v>
      </c>
      <c r="P622" s="1">
        <v>45783.300138888888</v>
      </c>
      <c r="R622" t="s">
        <v>657</v>
      </c>
      <c r="T622">
        <v>1</v>
      </c>
      <c r="U622">
        <v>30</v>
      </c>
      <c r="W622" t="s">
        <v>658</v>
      </c>
      <c r="AE622" t="s">
        <v>645</v>
      </c>
      <c r="AH622" t="s">
        <v>646</v>
      </c>
      <c r="AL622" t="s">
        <v>659</v>
      </c>
      <c r="AP622" t="s">
        <v>660</v>
      </c>
    </row>
    <row r="623" spans="1:74" x14ac:dyDescent="0.2">
      <c r="A623" t="s">
        <v>6684</v>
      </c>
      <c r="B623" t="s">
        <v>7035</v>
      </c>
      <c r="C623" t="s">
        <v>3448</v>
      </c>
      <c r="D623" t="s">
        <v>477</v>
      </c>
      <c r="E623">
        <v>2023</v>
      </c>
      <c r="F623" t="s">
        <v>3449</v>
      </c>
      <c r="G623" s="6" t="s">
        <v>3450</v>
      </c>
      <c r="H623" t="s">
        <v>3451</v>
      </c>
      <c r="I623" t="s">
        <v>3452</v>
      </c>
      <c r="K623" t="s">
        <v>3453</v>
      </c>
      <c r="L623" t="s">
        <v>3454</v>
      </c>
      <c r="M623" t="s">
        <v>3455</v>
      </c>
      <c r="N623">
        <v>2023</v>
      </c>
      <c r="O623" s="1">
        <v>45783.30636574074</v>
      </c>
      <c r="P623" s="1">
        <v>45784.286504629628</v>
      </c>
      <c r="Y623" t="s">
        <v>3456</v>
      </c>
      <c r="AC623" t="s">
        <v>1167</v>
      </c>
      <c r="AD623" t="s">
        <v>3218</v>
      </c>
      <c r="AL623" t="s">
        <v>3457</v>
      </c>
      <c r="AP623" t="s">
        <v>3458</v>
      </c>
    </row>
    <row r="624" spans="1:74" x14ac:dyDescent="0.2">
      <c r="A624" t="s">
        <v>6684</v>
      </c>
      <c r="B624" t="s">
        <v>7035</v>
      </c>
      <c r="C624" t="s">
        <v>3286</v>
      </c>
      <c r="D624" t="s">
        <v>102</v>
      </c>
      <c r="E624">
        <v>2021</v>
      </c>
      <c r="F624" t="s">
        <v>3287</v>
      </c>
      <c r="G624" s="6" t="s">
        <v>3288</v>
      </c>
      <c r="H624" t="s">
        <v>3289</v>
      </c>
      <c r="J624" t="s">
        <v>3290</v>
      </c>
      <c r="K624" t="s">
        <v>3291</v>
      </c>
      <c r="L624" t="s">
        <v>3292</v>
      </c>
      <c r="M624" t="s">
        <v>3293</v>
      </c>
      <c r="N624" t="s">
        <v>3294</v>
      </c>
      <c r="O624" s="1">
        <v>45783.30636574074</v>
      </c>
      <c r="P624" s="1">
        <v>45783.30636574074</v>
      </c>
      <c r="T624">
        <v>4</v>
      </c>
      <c r="U624">
        <v>14</v>
      </c>
      <c r="AL624" t="s">
        <v>3263</v>
      </c>
      <c r="AP624" t="s">
        <v>3295</v>
      </c>
    </row>
    <row r="625" spans="1:74" x14ac:dyDescent="0.2">
      <c r="A625" t="s">
        <v>6684</v>
      </c>
      <c r="B625" t="s">
        <v>7035</v>
      </c>
      <c r="C625" t="s">
        <v>4454</v>
      </c>
      <c r="D625" t="s">
        <v>477</v>
      </c>
      <c r="E625">
        <v>2020</v>
      </c>
      <c r="F625" t="s">
        <v>4455</v>
      </c>
      <c r="G625" s="6" t="s">
        <v>4456</v>
      </c>
      <c r="H625" t="s">
        <v>4457</v>
      </c>
      <c r="I625" t="s">
        <v>4458</v>
      </c>
      <c r="K625" t="s">
        <v>4459</v>
      </c>
      <c r="L625" t="s">
        <v>4460</v>
      </c>
      <c r="M625" t="s">
        <v>4461</v>
      </c>
      <c r="N625">
        <v>2020</v>
      </c>
      <c r="O625" s="1">
        <v>45783.306377314817</v>
      </c>
      <c r="P625" s="1">
        <v>45783.306377314817</v>
      </c>
      <c r="Y625" t="s">
        <v>4462</v>
      </c>
      <c r="AC625" t="s">
        <v>1167</v>
      </c>
      <c r="AD625" t="s">
        <v>3218</v>
      </c>
      <c r="AL625" t="s">
        <v>4463</v>
      </c>
      <c r="AP625" t="s">
        <v>4464</v>
      </c>
    </row>
    <row r="626" spans="1:74" x14ac:dyDescent="0.2">
      <c r="A626" t="s">
        <v>6684</v>
      </c>
      <c r="B626" t="s">
        <v>7035</v>
      </c>
      <c r="C626" t="s">
        <v>5459</v>
      </c>
      <c r="D626" t="s">
        <v>477</v>
      </c>
      <c r="E626">
        <v>2022</v>
      </c>
      <c r="F626" t="s">
        <v>5460</v>
      </c>
      <c r="G626" s="6" t="s">
        <v>5461</v>
      </c>
      <c r="H626" t="s">
        <v>5462</v>
      </c>
      <c r="I626" t="s">
        <v>5463</v>
      </c>
      <c r="K626" t="s">
        <v>5464</v>
      </c>
      <c r="L626" t="s">
        <v>5465</v>
      </c>
      <c r="N626" s="2">
        <v>44783</v>
      </c>
      <c r="O626" s="1">
        <v>45783.311435185184</v>
      </c>
      <c r="P626" s="1">
        <v>45783.409942129627</v>
      </c>
      <c r="Q626" s="1">
        <v>45783.311435185184</v>
      </c>
      <c r="R626" s="3">
        <v>45870</v>
      </c>
      <c r="AC626" t="s">
        <v>5107</v>
      </c>
      <c r="AD626" t="s">
        <v>5466</v>
      </c>
      <c r="AF626" t="s">
        <v>5109</v>
      </c>
      <c r="AJ626" t="s">
        <v>98</v>
      </c>
      <c r="AP626" t="s">
        <v>5467</v>
      </c>
      <c r="BV626" t="s">
        <v>5462</v>
      </c>
    </row>
    <row r="627" spans="1:74" x14ac:dyDescent="0.2">
      <c r="A627" t="s">
        <v>6684</v>
      </c>
      <c r="B627" t="s">
        <v>7050</v>
      </c>
      <c r="C627" t="s">
        <v>999</v>
      </c>
      <c r="D627" t="s">
        <v>102</v>
      </c>
      <c r="E627">
        <v>2023</v>
      </c>
      <c r="F627" t="s">
        <v>1000</v>
      </c>
      <c r="G627" s="6" t="s">
        <v>1001</v>
      </c>
      <c r="H627" t="s">
        <v>1002</v>
      </c>
      <c r="J627" t="s">
        <v>1003</v>
      </c>
      <c r="K627" t="s">
        <v>1004</v>
      </c>
      <c r="L627" t="s">
        <v>1005</v>
      </c>
      <c r="M627" t="s">
        <v>1006</v>
      </c>
      <c r="N627">
        <v>2023</v>
      </c>
      <c r="O627" s="1">
        <v>45783.300150462965</v>
      </c>
      <c r="P627" s="1">
        <v>45783.300150462965</v>
      </c>
      <c r="T627">
        <v>1</v>
      </c>
      <c r="U627">
        <v>22</v>
      </c>
      <c r="W627" t="s">
        <v>1007</v>
      </c>
      <c r="AE627" t="s">
        <v>645</v>
      </c>
      <c r="AH627" t="s">
        <v>646</v>
      </c>
      <c r="AL627" t="s">
        <v>1008</v>
      </c>
      <c r="AP627" t="s">
        <v>1009</v>
      </c>
    </row>
    <row r="628" spans="1:74" x14ac:dyDescent="0.2">
      <c r="A628" t="s">
        <v>6684</v>
      </c>
      <c r="B628" t="s">
        <v>7035</v>
      </c>
      <c r="C628" t="s">
        <v>6139</v>
      </c>
      <c r="D628" t="s">
        <v>102</v>
      </c>
      <c r="E628">
        <v>2023</v>
      </c>
      <c r="F628" t="s">
        <v>6140</v>
      </c>
      <c r="G628" s="6" t="s">
        <v>6141</v>
      </c>
      <c r="H628" t="s">
        <v>6114</v>
      </c>
      <c r="J628" t="s">
        <v>6115</v>
      </c>
      <c r="K628" t="s">
        <v>6142</v>
      </c>
      <c r="L628" t="s">
        <v>6143</v>
      </c>
      <c r="N628">
        <v>2023</v>
      </c>
      <c r="O628" s="1">
        <v>45783.312708333331</v>
      </c>
      <c r="P628" s="1">
        <v>45783.312708333331</v>
      </c>
      <c r="Q628" s="1">
        <v>45783.312708333331</v>
      </c>
      <c r="R628" t="s">
        <v>6144</v>
      </c>
      <c r="U628">
        <v>11</v>
      </c>
      <c r="W628" t="s">
        <v>6114</v>
      </c>
      <c r="AF628" t="s">
        <v>6120</v>
      </c>
      <c r="AJ628" t="s">
        <v>98</v>
      </c>
      <c r="AN628" t="s">
        <v>6145</v>
      </c>
    </row>
    <row r="629" spans="1:74" x14ac:dyDescent="0.2">
      <c r="A629" t="s">
        <v>6684</v>
      </c>
      <c r="B629" t="s">
        <v>7035</v>
      </c>
      <c r="C629" t="s">
        <v>3427</v>
      </c>
      <c r="D629" t="s">
        <v>102</v>
      </c>
      <c r="E629">
        <v>2024</v>
      </c>
      <c r="F629" t="s">
        <v>3428</v>
      </c>
      <c r="G629" s="6" t="s">
        <v>3429</v>
      </c>
      <c r="H629" t="s">
        <v>3430</v>
      </c>
      <c r="J629" t="s">
        <v>3431</v>
      </c>
      <c r="K629" t="s">
        <v>3432</v>
      </c>
      <c r="L629" t="s">
        <v>3433</v>
      </c>
      <c r="N629" t="s">
        <v>3434</v>
      </c>
      <c r="O629" s="1">
        <v>45783.30636574074</v>
      </c>
      <c r="P629" s="1">
        <v>45783.30636574074</v>
      </c>
      <c r="T629" t="s">
        <v>3283</v>
      </c>
      <c r="U629">
        <v>119</v>
      </c>
      <c r="AL629" t="s">
        <v>3435</v>
      </c>
      <c r="AP629" t="s">
        <v>3436</v>
      </c>
    </row>
    <row r="630" spans="1:74" x14ac:dyDescent="0.2">
      <c r="A630" t="s">
        <v>6684</v>
      </c>
      <c r="B630" t="s">
        <v>7035</v>
      </c>
      <c r="C630" t="s">
        <v>6290</v>
      </c>
      <c r="D630" t="s">
        <v>102</v>
      </c>
      <c r="E630">
        <v>2023</v>
      </c>
      <c r="F630" t="s">
        <v>6291</v>
      </c>
      <c r="G630" s="6" t="s">
        <v>6292</v>
      </c>
      <c r="H630" t="s">
        <v>1376</v>
      </c>
      <c r="J630" t="s">
        <v>6105</v>
      </c>
      <c r="K630" t="s">
        <v>6293</v>
      </c>
      <c r="L630" t="s">
        <v>6294</v>
      </c>
      <c r="N630" t="s">
        <v>4281</v>
      </c>
      <c r="O630" s="1">
        <v>45783.313425925924</v>
      </c>
      <c r="P630" s="1">
        <v>45783.313425925924</v>
      </c>
      <c r="Q630" s="1">
        <v>45783.313425925924</v>
      </c>
      <c r="R630" t="s">
        <v>6295</v>
      </c>
      <c r="T630">
        <v>5</v>
      </c>
      <c r="U630">
        <v>29</v>
      </c>
      <c r="W630" t="s">
        <v>3713</v>
      </c>
      <c r="AF630" t="s">
        <v>5140</v>
      </c>
      <c r="AJ630" t="s">
        <v>98</v>
      </c>
    </row>
    <row r="631" spans="1:74" x14ac:dyDescent="0.2">
      <c r="A631" t="s">
        <v>6684</v>
      </c>
      <c r="B631" t="s">
        <v>7035</v>
      </c>
      <c r="C631" t="s">
        <v>1741</v>
      </c>
      <c r="D631" t="s">
        <v>102</v>
      </c>
      <c r="E631">
        <v>2020</v>
      </c>
      <c r="F631" t="s">
        <v>1742</v>
      </c>
      <c r="G631" s="6" t="s">
        <v>1743</v>
      </c>
      <c r="H631" t="s">
        <v>1744</v>
      </c>
      <c r="J631" t="s">
        <v>1745</v>
      </c>
      <c r="K631" t="s">
        <v>1746</v>
      </c>
      <c r="L631" t="s">
        <v>1747</v>
      </c>
      <c r="M631" t="s">
        <v>1748</v>
      </c>
      <c r="N631">
        <v>2020</v>
      </c>
      <c r="O631" s="1">
        <v>45783.300150462965</v>
      </c>
      <c r="P631" s="1">
        <v>45783.300150462965</v>
      </c>
      <c r="R631" t="s">
        <v>1749</v>
      </c>
      <c r="T631">
        <v>8</v>
      </c>
      <c r="U631">
        <v>43</v>
      </c>
      <c r="W631" t="s">
        <v>1750</v>
      </c>
      <c r="AE631" t="s">
        <v>645</v>
      </c>
      <c r="AH631" t="s">
        <v>646</v>
      </c>
      <c r="AL631" t="s">
        <v>837</v>
      </c>
      <c r="AP631" t="s">
        <v>1751</v>
      </c>
    </row>
    <row r="632" spans="1:74" x14ac:dyDescent="0.2">
      <c r="A632" t="s">
        <v>6684</v>
      </c>
      <c r="B632" t="s">
        <v>6657</v>
      </c>
      <c r="C632" t="s">
        <v>6473</v>
      </c>
      <c r="D632" t="s">
        <v>477</v>
      </c>
      <c r="E632">
        <v>2023</v>
      </c>
      <c r="F632" t="s">
        <v>6474</v>
      </c>
      <c r="G632" s="6" t="s">
        <v>6475</v>
      </c>
      <c r="H632" t="s">
        <v>6476</v>
      </c>
      <c r="I632" t="s">
        <v>6477</v>
      </c>
      <c r="K632" t="s">
        <v>6478</v>
      </c>
      <c r="L632" t="s">
        <v>6479</v>
      </c>
      <c r="N632" s="2">
        <v>45268</v>
      </c>
      <c r="O632" s="1">
        <v>45783.313611111109</v>
      </c>
      <c r="P632" s="1">
        <v>45783.380289351851</v>
      </c>
      <c r="Q632" s="1">
        <v>45783.313611111109</v>
      </c>
      <c r="R632" t="s">
        <v>6480</v>
      </c>
      <c r="AC632" t="s">
        <v>5107</v>
      </c>
      <c r="AD632" t="s">
        <v>6481</v>
      </c>
      <c r="AF632" t="s">
        <v>5109</v>
      </c>
      <c r="AJ632" t="s">
        <v>98</v>
      </c>
      <c r="AP632" t="s">
        <v>6482</v>
      </c>
      <c r="BV632" t="s">
        <v>6476</v>
      </c>
    </row>
    <row r="633" spans="1:74" x14ac:dyDescent="0.2">
      <c r="A633" t="s">
        <v>6684</v>
      </c>
      <c r="B633" t="s">
        <v>6657</v>
      </c>
      <c r="C633" t="s">
        <v>6495</v>
      </c>
      <c r="D633" t="s">
        <v>477</v>
      </c>
      <c r="E633">
        <v>2023</v>
      </c>
      <c r="F633" t="s">
        <v>6496</v>
      </c>
      <c r="G633" s="6" t="s">
        <v>6497</v>
      </c>
      <c r="H633" t="s">
        <v>6498</v>
      </c>
      <c r="I633" t="s">
        <v>6499</v>
      </c>
      <c r="K633" t="s">
        <v>6500</v>
      </c>
      <c r="L633" t="s">
        <v>6501</v>
      </c>
      <c r="N633" t="s">
        <v>6502</v>
      </c>
      <c r="O633" s="1">
        <v>45783.313692129632</v>
      </c>
      <c r="P633" s="1">
        <v>45783.474016203705</v>
      </c>
      <c r="Q633" s="1">
        <v>45783.313692129632</v>
      </c>
      <c r="R633" t="s">
        <v>6503</v>
      </c>
      <c r="AC633" t="s">
        <v>5107</v>
      </c>
      <c r="AD633" t="s">
        <v>6504</v>
      </c>
      <c r="AF633" t="s">
        <v>5109</v>
      </c>
      <c r="AJ633" t="s">
        <v>98</v>
      </c>
      <c r="AP633" t="s">
        <v>6505</v>
      </c>
      <c r="BV633" t="s">
        <v>6506</v>
      </c>
    </row>
    <row r="634" spans="1:74" x14ac:dyDescent="0.2">
      <c r="A634" t="s">
        <v>6684</v>
      </c>
      <c r="B634" t="s">
        <v>7035</v>
      </c>
      <c r="C634" t="s">
        <v>5741</v>
      </c>
      <c r="D634" t="s">
        <v>477</v>
      </c>
      <c r="E634">
        <v>2024</v>
      </c>
      <c r="F634" t="s">
        <v>5742</v>
      </c>
      <c r="G634" s="6" t="s">
        <v>5743</v>
      </c>
      <c r="H634" t="s">
        <v>5744</v>
      </c>
      <c r="I634" t="s">
        <v>5745</v>
      </c>
      <c r="K634" t="s">
        <v>5746</v>
      </c>
      <c r="L634" t="s">
        <v>5747</v>
      </c>
      <c r="N634" s="2">
        <v>45618</v>
      </c>
      <c r="O634" s="1">
        <v>45783.311863425923</v>
      </c>
      <c r="P634" s="1">
        <v>45783.311863425923</v>
      </c>
      <c r="Q634" s="1">
        <v>45783.311863425923</v>
      </c>
      <c r="R634" t="s">
        <v>5748</v>
      </c>
      <c r="AC634" t="s">
        <v>5107</v>
      </c>
      <c r="AD634" t="s">
        <v>5749</v>
      </c>
      <c r="AF634" t="s">
        <v>5109</v>
      </c>
      <c r="AJ634" t="s">
        <v>98</v>
      </c>
      <c r="BV634" t="s">
        <v>5744</v>
      </c>
    </row>
    <row r="635" spans="1:74" x14ac:dyDescent="0.2">
      <c r="A635" t="s">
        <v>7034</v>
      </c>
      <c r="B635" t="s">
        <v>6656</v>
      </c>
      <c r="C635" t="s">
        <v>926</v>
      </c>
      <c r="D635" t="s">
        <v>102</v>
      </c>
      <c r="E635">
        <v>2023</v>
      </c>
      <c r="F635" t="s">
        <v>927</v>
      </c>
      <c r="G635" s="6" t="s">
        <v>928</v>
      </c>
      <c r="H635" t="s">
        <v>929</v>
      </c>
      <c r="J635" t="s">
        <v>930</v>
      </c>
      <c r="K635" t="s">
        <v>931</v>
      </c>
      <c r="L635" t="s">
        <v>932</v>
      </c>
      <c r="M635" t="s">
        <v>933</v>
      </c>
      <c r="N635">
        <v>2023</v>
      </c>
      <c r="O635" s="1">
        <v>45783.300150462965</v>
      </c>
      <c r="P635" s="1">
        <v>45783.300150462965</v>
      </c>
      <c r="R635" t="s">
        <v>934</v>
      </c>
      <c r="T635">
        <v>3</v>
      </c>
      <c r="U635">
        <v>42</v>
      </c>
      <c r="W635" t="s">
        <v>935</v>
      </c>
      <c r="AE635" t="s">
        <v>645</v>
      </c>
      <c r="AH635" t="s">
        <v>646</v>
      </c>
      <c r="AL635" t="s">
        <v>936</v>
      </c>
      <c r="AP635" t="s">
        <v>937</v>
      </c>
    </row>
    <row r="636" spans="1:74" x14ac:dyDescent="0.2">
      <c r="A636" t="s">
        <v>6684</v>
      </c>
      <c r="B636" t="s">
        <v>7035</v>
      </c>
      <c r="C636" t="s">
        <v>3660</v>
      </c>
      <c r="D636" t="s">
        <v>477</v>
      </c>
      <c r="E636">
        <v>2018</v>
      </c>
      <c r="F636" t="s">
        <v>3661</v>
      </c>
      <c r="G636" s="6" t="s">
        <v>3662</v>
      </c>
      <c r="H636" t="s">
        <v>3663</v>
      </c>
      <c r="I636" t="s">
        <v>3664</v>
      </c>
      <c r="K636" t="s">
        <v>3665</v>
      </c>
      <c r="L636" t="s">
        <v>3666</v>
      </c>
      <c r="M636" t="s">
        <v>3667</v>
      </c>
      <c r="N636">
        <v>2018</v>
      </c>
      <c r="O636" s="1">
        <v>45783.30636574074</v>
      </c>
      <c r="P636" s="1">
        <v>45783.30636574074</v>
      </c>
      <c r="Y636" t="s">
        <v>3668</v>
      </c>
      <c r="AC636" t="s">
        <v>1167</v>
      </c>
      <c r="AD636" t="s">
        <v>3218</v>
      </c>
      <c r="AL636" t="s">
        <v>3669</v>
      </c>
      <c r="AP636" t="s">
        <v>3670</v>
      </c>
    </row>
    <row r="637" spans="1:74" x14ac:dyDescent="0.2">
      <c r="A637" t="s">
        <v>7034</v>
      </c>
      <c r="B637" t="s">
        <v>7047</v>
      </c>
      <c r="C637" t="s">
        <v>4554</v>
      </c>
      <c r="D637" t="s">
        <v>477</v>
      </c>
      <c r="E637">
        <v>2019</v>
      </c>
      <c r="F637" t="s">
        <v>3438</v>
      </c>
      <c r="G637" s="6" t="s">
        <v>4555</v>
      </c>
      <c r="H637" t="s">
        <v>4556</v>
      </c>
      <c r="I637" t="s">
        <v>4557</v>
      </c>
      <c r="K637" t="s">
        <v>4558</v>
      </c>
      <c r="L637" t="s">
        <v>4559</v>
      </c>
      <c r="M637" t="s">
        <v>4560</v>
      </c>
      <c r="N637">
        <v>2019</v>
      </c>
      <c r="O637" s="1">
        <v>45783.306377314817</v>
      </c>
      <c r="P637" s="1">
        <v>45783.306377314817</v>
      </c>
      <c r="R637" t="s">
        <v>4561</v>
      </c>
      <c r="AC637" t="s">
        <v>3194</v>
      </c>
      <c r="AD637" t="s">
        <v>589</v>
      </c>
      <c r="AL637" t="s">
        <v>4400</v>
      </c>
      <c r="AP637" t="s">
        <v>4562</v>
      </c>
    </row>
    <row r="638" spans="1:74" x14ac:dyDescent="0.2">
      <c r="A638" t="s">
        <v>6684</v>
      </c>
      <c r="B638" t="s">
        <v>6657</v>
      </c>
      <c r="C638" t="s">
        <v>1373</v>
      </c>
      <c r="D638" t="s">
        <v>102</v>
      </c>
      <c r="E638">
        <v>2024</v>
      </c>
      <c r="F638" t="s">
        <v>1374</v>
      </c>
      <c r="G638" s="6" t="s">
        <v>1375</v>
      </c>
      <c r="H638" t="s">
        <v>1376</v>
      </c>
      <c r="J638" t="s">
        <v>1377</v>
      </c>
      <c r="K638" t="s">
        <v>1378</v>
      </c>
      <c r="L638" t="s">
        <v>1379</v>
      </c>
      <c r="M638" t="s">
        <v>1380</v>
      </c>
      <c r="N638">
        <v>2024</v>
      </c>
      <c r="O638" s="1">
        <v>45783.300150462965</v>
      </c>
      <c r="P638" s="1">
        <v>45783.300150462965</v>
      </c>
      <c r="R638" t="s">
        <v>1381</v>
      </c>
      <c r="T638">
        <v>10</v>
      </c>
      <c r="U638">
        <v>30</v>
      </c>
      <c r="W638" t="s">
        <v>1382</v>
      </c>
      <c r="AE638" t="s">
        <v>645</v>
      </c>
      <c r="AH638" t="s">
        <v>646</v>
      </c>
      <c r="AL638" t="s">
        <v>1383</v>
      </c>
      <c r="AP638" t="s">
        <v>1384</v>
      </c>
    </row>
    <row r="639" spans="1:74" x14ac:dyDescent="0.2">
      <c r="A639" t="s">
        <v>6684</v>
      </c>
      <c r="B639" t="s">
        <v>7035</v>
      </c>
      <c r="C639" t="s">
        <v>5172</v>
      </c>
      <c r="D639" t="s">
        <v>477</v>
      </c>
      <c r="E639">
        <v>2020</v>
      </c>
      <c r="F639" t="s">
        <v>5173</v>
      </c>
      <c r="G639" s="6" t="s">
        <v>5174</v>
      </c>
      <c r="H639" t="s">
        <v>5175</v>
      </c>
      <c r="I639" t="s">
        <v>5176</v>
      </c>
      <c r="K639" t="s">
        <v>5177</v>
      </c>
      <c r="L639" t="s">
        <v>5178</v>
      </c>
      <c r="N639" s="2">
        <v>44183</v>
      </c>
      <c r="O639" s="1">
        <v>45783.311157407406</v>
      </c>
      <c r="P639" s="1">
        <v>45783.311157407406</v>
      </c>
      <c r="Q639" s="1">
        <v>45783.311157407406</v>
      </c>
      <c r="R639" t="s">
        <v>5179</v>
      </c>
      <c r="AC639" t="s">
        <v>5107</v>
      </c>
      <c r="AD639" t="s">
        <v>5180</v>
      </c>
      <c r="AF639" t="s">
        <v>5140</v>
      </c>
      <c r="AJ639" t="s">
        <v>98</v>
      </c>
      <c r="BV639" t="s">
        <v>5175</v>
      </c>
    </row>
    <row r="640" spans="1:74" x14ac:dyDescent="0.2">
      <c r="A640" t="s">
        <v>6684</v>
      </c>
      <c r="B640" t="s">
        <v>7037</v>
      </c>
      <c r="C640" t="s">
        <v>2969</v>
      </c>
      <c r="D640" t="s">
        <v>477</v>
      </c>
      <c r="E640">
        <v>2008</v>
      </c>
      <c r="F640" t="s">
        <v>2970</v>
      </c>
      <c r="G640" s="6" t="s">
        <v>2971</v>
      </c>
      <c r="H640" t="s">
        <v>2972</v>
      </c>
      <c r="I640" t="s">
        <v>2973</v>
      </c>
      <c r="K640" t="s">
        <v>2974</v>
      </c>
      <c r="L640" t="s">
        <v>2975</v>
      </c>
      <c r="M640" t="s">
        <v>2976</v>
      </c>
      <c r="N640">
        <v>2008</v>
      </c>
      <c r="O640" s="1">
        <v>45783.300173611111</v>
      </c>
      <c r="P640" s="1">
        <v>45783.300173611111</v>
      </c>
      <c r="R640" t="s">
        <v>2977</v>
      </c>
      <c r="U640" t="s">
        <v>2978</v>
      </c>
      <c r="AE640" t="s">
        <v>645</v>
      </c>
      <c r="AH640" t="s">
        <v>646</v>
      </c>
      <c r="AL640" t="s">
        <v>2979</v>
      </c>
      <c r="AP640" t="s">
        <v>2980</v>
      </c>
      <c r="BV640" t="s">
        <v>2981</v>
      </c>
    </row>
    <row r="641" spans="1:74" x14ac:dyDescent="0.2">
      <c r="A641" t="s">
        <v>6684</v>
      </c>
      <c r="B641" t="s">
        <v>7035</v>
      </c>
      <c r="C641" t="s">
        <v>544</v>
      </c>
      <c r="D641" t="s">
        <v>88</v>
      </c>
      <c r="E641">
        <v>2015</v>
      </c>
      <c r="F641" t="s">
        <v>545</v>
      </c>
      <c r="G641" s="6" t="s">
        <v>546</v>
      </c>
      <c r="H641" t="s">
        <v>547</v>
      </c>
      <c r="I641" t="s">
        <v>548</v>
      </c>
      <c r="L641" t="s">
        <v>549</v>
      </c>
      <c r="N641">
        <v>2015</v>
      </c>
      <c r="O641" s="1">
        <v>45783.293703703705</v>
      </c>
      <c r="P641" s="1">
        <v>45783.293703703705</v>
      </c>
      <c r="Q641" s="1">
        <v>45783.293703703705</v>
      </c>
      <c r="R641" t="s">
        <v>550</v>
      </c>
      <c r="U641">
        <v>9179</v>
      </c>
      <c r="AC641" t="s">
        <v>262</v>
      </c>
      <c r="AD641" t="s">
        <v>96</v>
      </c>
      <c r="AE641" t="s">
        <v>97</v>
      </c>
      <c r="AJ641" t="s">
        <v>98</v>
      </c>
      <c r="AL641" t="s">
        <v>551</v>
      </c>
      <c r="AR641" t="s">
        <v>552</v>
      </c>
    </row>
    <row r="642" spans="1:74" x14ac:dyDescent="0.2">
      <c r="A642" t="s">
        <v>6684</v>
      </c>
      <c r="B642" t="s">
        <v>7035</v>
      </c>
      <c r="C642" t="s">
        <v>4945</v>
      </c>
      <c r="D642" t="s">
        <v>477</v>
      </c>
      <c r="E642">
        <v>2022</v>
      </c>
      <c r="F642" t="s">
        <v>4946</v>
      </c>
      <c r="G642" s="6" t="s">
        <v>4947</v>
      </c>
      <c r="H642" t="s">
        <v>4948</v>
      </c>
      <c r="I642" t="s">
        <v>4949</v>
      </c>
      <c r="K642" t="s">
        <v>4950</v>
      </c>
      <c r="L642" t="s">
        <v>4951</v>
      </c>
      <c r="M642" t="s">
        <v>4952</v>
      </c>
      <c r="N642">
        <v>2022</v>
      </c>
      <c r="O642" s="1">
        <v>45783.306388888886</v>
      </c>
      <c r="P642" s="1">
        <v>45783.306388888886</v>
      </c>
      <c r="Y642" t="s">
        <v>4953</v>
      </c>
      <c r="AC642" t="s">
        <v>1167</v>
      </c>
      <c r="AD642" t="s">
        <v>3218</v>
      </c>
      <c r="AL642" t="s">
        <v>4954</v>
      </c>
      <c r="AP642" t="s">
        <v>4955</v>
      </c>
    </row>
    <row r="643" spans="1:74" x14ac:dyDescent="0.2">
      <c r="A643" t="s">
        <v>7034</v>
      </c>
      <c r="B643" t="s">
        <v>6656</v>
      </c>
      <c r="C643" t="s">
        <v>2129</v>
      </c>
      <c r="D643" t="s">
        <v>477</v>
      </c>
      <c r="E643">
        <v>2020</v>
      </c>
      <c r="F643" t="s">
        <v>2130</v>
      </c>
      <c r="G643" s="6" t="s">
        <v>2131</v>
      </c>
      <c r="H643" t="s">
        <v>2132</v>
      </c>
      <c r="I643" t="s">
        <v>2133</v>
      </c>
      <c r="K643" t="s">
        <v>2134</v>
      </c>
      <c r="L643" t="s">
        <v>2135</v>
      </c>
      <c r="M643" t="s">
        <v>2136</v>
      </c>
      <c r="N643">
        <v>2020</v>
      </c>
      <c r="O643" s="1">
        <v>45783.300162037034</v>
      </c>
      <c r="P643" s="1">
        <v>45784.289930555555</v>
      </c>
      <c r="AC643" t="s">
        <v>801</v>
      </c>
      <c r="AE643" t="s">
        <v>645</v>
      </c>
      <c r="AH643" t="s">
        <v>646</v>
      </c>
      <c r="AL643" t="s">
        <v>2137</v>
      </c>
      <c r="AP643" t="s">
        <v>2138</v>
      </c>
      <c r="BV643" t="s">
        <v>2139</v>
      </c>
    </row>
    <row r="644" spans="1:74" x14ac:dyDescent="0.2">
      <c r="A644" t="s">
        <v>6684</v>
      </c>
      <c r="B644" t="s">
        <v>7035</v>
      </c>
      <c r="C644" t="s">
        <v>2197</v>
      </c>
      <c r="D644" t="s">
        <v>102</v>
      </c>
      <c r="E644">
        <v>2008</v>
      </c>
      <c r="F644" t="s">
        <v>2198</v>
      </c>
      <c r="G644" s="6" t="s">
        <v>2199</v>
      </c>
      <c r="H644" t="s">
        <v>2200</v>
      </c>
      <c r="J644" t="s">
        <v>2201</v>
      </c>
      <c r="K644" t="s">
        <v>2202</v>
      </c>
      <c r="L644" t="s">
        <v>2203</v>
      </c>
      <c r="M644" t="s">
        <v>2204</v>
      </c>
      <c r="N644">
        <v>2008</v>
      </c>
      <c r="O644" s="1">
        <v>45783.300162037034</v>
      </c>
      <c r="P644" s="1">
        <v>45783.300162037034</v>
      </c>
      <c r="R644" t="s">
        <v>2205</v>
      </c>
      <c r="T644">
        <v>2</v>
      </c>
      <c r="U644">
        <v>5</v>
      </c>
      <c r="W644" t="s">
        <v>2206</v>
      </c>
      <c r="AE644" t="s">
        <v>645</v>
      </c>
      <c r="AH644" t="s">
        <v>646</v>
      </c>
      <c r="AP644" t="s">
        <v>2207</v>
      </c>
    </row>
    <row r="645" spans="1:74" x14ac:dyDescent="0.2">
      <c r="A645" t="s">
        <v>6684</v>
      </c>
      <c r="B645" t="s">
        <v>6657</v>
      </c>
      <c r="C645" t="s">
        <v>1581</v>
      </c>
      <c r="D645" t="s">
        <v>477</v>
      </c>
      <c r="E645">
        <v>2021</v>
      </c>
      <c r="F645" t="s">
        <v>1582</v>
      </c>
      <c r="G645" s="6" t="s">
        <v>1583</v>
      </c>
      <c r="H645" t="s">
        <v>1584</v>
      </c>
      <c r="I645" t="s">
        <v>1585</v>
      </c>
      <c r="K645" t="s">
        <v>1586</v>
      </c>
      <c r="L645" t="s">
        <v>1587</v>
      </c>
      <c r="M645" t="s">
        <v>1588</v>
      </c>
      <c r="N645">
        <v>2021</v>
      </c>
      <c r="O645" s="1">
        <v>45783.300150462965</v>
      </c>
      <c r="P645" s="1">
        <v>45783.300150462965</v>
      </c>
      <c r="U645">
        <v>1744</v>
      </c>
      <c r="AC645" t="s">
        <v>1589</v>
      </c>
      <c r="AE645" t="s">
        <v>645</v>
      </c>
      <c r="AH645" t="s">
        <v>646</v>
      </c>
      <c r="AL645" t="s">
        <v>1590</v>
      </c>
      <c r="AP645" t="s">
        <v>1591</v>
      </c>
      <c r="BV645" t="s">
        <v>1592</v>
      </c>
    </row>
    <row r="646" spans="1:74" x14ac:dyDescent="0.2">
      <c r="A646" t="s">
        <v>6684</v>
      </c>
      <c r="B646" t="s">
        <v>6653</v>
      </c>
      <c r="C646" t="s">
        <v>3255</v>
      </c>
      <c r="D646" t="s">
        <v>102</v>
      </c>
      <c r="E646">
        <v>2025</v>
      </c>
      <c r="F646" t="s">
        <v>3256</v>
      </c>
      <c r="G646" s="6" t="s">
        <v>3257</v>
      </c>
      <c r="H646" t="s">
        <v>3258</v>
      </c>
      <c r="K646" t="s">
        <v>3259</v>
      </c>
      <c r="L646" t="s">
        <v>3260</v>
      </c>
      <c r="M646" t="s">
        <v>3261</v>
      </c>
      <c r="N646" t="s">
        <v>3262</v>
      </c>
      <c r="O646" s="1">
        <v>45783.30636574074</v>
      </c>
      <c r="P646" s="1">
        <v>45783.30636574074</v>
      </c>
      <c r="T646">
        <v>2</v>
      </c>
      <c r="U646">
        <v>9</v>
      </c>
      <c r="AL646" t="s">
        <v>3263</v>
      </c>
      <c r="AP646" t="s">
        <v>3264</v>
      </c>
    </row>
    <row r="647" spans="1:74" x14ac:dyDescent="0.2">
      <c r="A647" t="s">
        <v>6684</v>
      </c>
      <c r="B647" t="s">
        <v>7036</v>
      </c>
      <c r="C647" t="s">
        <v>1948</v>
      </c>
      <c r="D647" t="s">
        <v>477</v>
      </c>
      <c r="E647">
        <v>2022</v>
      </c>
      <c r="F647" t="s">
        <v>1949</v>
      </c>
      <c r="G647" s="6" t="s">
        <v>1950</v>
      </c>
      <c r="H647" t="s">
        <v>1185</v>
      </c>
      <c r="I647" t="s">
        <v>1951</v>
      </c>
      <c r="K647" t="s">
        <v>1952</v>
      </c>
      <c r="L647" t="s">
        <v>1953</v>
      </c>
      <c r="M647" t="s">
        <v>1954</v>
      </c>
      <c r="N647">
        <v>2022</v>
      </c>
      <c r="O647" s="1">
        <v>45783.300162037034</v>
      </c>
      <c r="P647" s="1">
        <v>45783.300162037034</v>
      </c>
      <c r="R647" t="s">
        <v>1955</v>
      </c>
      <c r="U647" t="s">
        <v>1956</v>
      </c>
      <c r="AC647" t="s">
        <v>787</v>
      </c>
      <c r="AE647" t="s">
        <v>645</v>
      </c>
      <c r="AH647" t="s">
        <v>646</v>
      </c>
      <c r="AL647" t="s">
        <v>1191</v>
      </c>
      <c r="AP647" t="s">
        <v>1957</v>
      </c>
      <c r="AR647" t="s">
        <v>1958</v>
      </c>
      <c r="BV647" t="s">
        <v>1194</v>
      </c>
    </row>
    <row r="648" spans="1:74" x14ac:dyDescent="0.2">
      <c r="A648" t="s">
        <v>6684</v>
      </c>
      <c r="B648" t="s">
        <v>7035</v>
      </c>
      <c r="C648" t="s">
        <v>636</v>
      </c>
      <c r="D648" t="s">
        <v>102</v>
      </c>
      <c r="E648">
        <v>2025</v>
      </c>
      <c r="F648" t="s">
        <v>637</v>
      </c>
      <c r="G648" s="6" t="s">
        <v>638</v>
      </c>
      <c r="H648" t="s">
        <v>639</v>
      </c>
      <c r="J648" t="s">
        <v>640</v>
      </c>
      <c r="K648" t="s">
        <v>641</v>
      </c>
      <c r="L648" t="s">
        <v>642</v>
      </c>
      <c r="M648" t="s">
        <v>643</v>
      </c>
      <c r="N648">
        <v>2025</v>
      </c>
      <c r="O648" s="1">
        <v>45783.300138888888</v>
      </c>
      <c r="P648" s="1">
        <v>45783.300138888888</v>
      </c>
      <c r="W648" t="s">
        <v>644</v>
      </c>
      <c r="AE648" t="s">
        <v>645</v>
      </c>
      <c r="AH648" t="s">
        <v>646</v>
      </c>
      <c r="AL648" t="s">
        <v>647</v>
      </c>
      <c r="AP648" t="s">
        <v>648</v>
      </c>
    </row>
    <row r="649" spans="1:74" x14ac:dyDescent="0.2">
      <c r="A649" t="s">
        <v>6684</v>
      </c>
      <c r="B649" t="s">
        <v>7035</v>
      </c>
      <c r="C649" t="s">
        <v>444</v>
      </c>
      <c r="D649" t="s">
        <v>102</v>
      </c>
      <c r="E649">
        <v>2020</v>
      </c>
      <c r="F649" t="s">
        <v>445</v>
      </c>
      <c r="G649" s="6" t="s">
        <v>446</v>
      </c>
      <c r="H649" t="s">
        <v>447</v>
      </c>
      <c r="J649" t="s">
        <v>448</v>
      </c>
      <c r="K649" t="s">
        <v>449</v>
      </c>
      <c r="L649" t="s">
        <v>450</v>
      </c>
      <c r="N649" t="s">
        <v>451</v>
      </c>
      <c r="O649" s="1">
        <v>45783.293437499997</v>
      </c>
      <c r="P649" s="1">
        <v>45783.293437499997</v>
      </c>
      <c r="Q649" s="1">
        <v>45783.293437499997</v>
      </c>
      <c r="R649" t="s">
        <v>452</v>
      </c>
      <c r="T649" s="3">
        <v>45813</v>
      </c>
      <c r="U649">
        <v>79</v>
      </c>
      <c r="W649" t="s">
        <v>453</v>
      </c>
      <c r="X649" t="s">
        <v>454</v>
      </c>
      <c r="AE649" t="s">
        <v>97</v>
      </c>
      <c r="AJ649" t="s">
        <v>98</v>
      </c>
      <c r="AN649" t="s">
        <v>455</v>
      </c>
    </row>
    <row r="650" spans="1:74" x14ac:dyDescent="0.2">
      <c r="A650" t="s">
        <v>6684</v>
      </c>
      <c r="B650" t="s">
        <v>6657</v>
      </c>
      <c r="C650" t="s">
        <v>6563</v>
      </c>
      <c r="D650" t="s">
        <v>102</v>
      </c>
      <c r="E650">
        <v>2021</v>
      </c>
      <c r="F650" t="s">
        <v>6564</v>
      </c>
      <c r="G650" s="6" t="s">
        <v>6565</v>
      </c>
      <c r="H650" t="s">
        <v>6566</v>
      </c>
      <c r="J650" t="s">
        <v>6567</v>
      </c>
      <c r="K650" t="s">
        <v>6568</v>
      </c>
      <c r="L650" t="s">
        <v>6569</v>
      </c>
      <c r="N650" s="2">
        <v>44378</v>
      </c>
      <c r="O650" s="1">
        <v>45783.313761574071</v>
      </c>
      <c r="P650" s="1">
        <v>45783.409398148149</v>
      </c>
      <c r="Q650" s="1">
        <v>45783.313761574071</v>
      </c>
      <c r="R650" t="s">
        <v>6570</v>
      </c>
      <c r="T650">
        <v>4</v>
      </c>
      <c r="U650">
        <v>41</v>
      </c>
      <c r="W650" t="s">
        <v>6571</v>
      </c>
      <c r="AF650" t="s">
        <v>5140</v>
      </c>
      <c r="AJ650" t="s">
        <v>98</v>
      </c>
      <c r="AP650" t="s">
        <v>6572</v>
      </c>
    </row>
    <row r="651" spans="1:74" x14ac:dyDescent="0.2">
      <c r="A651" t="s">
        <v>7034</v>
      </c>
      <c r="B651" t="s">
        <v>6658</v>
      </c>
      <c r="C651" t="s">
        <v>4445</v>
      </c>
      <c r="D651" t="s">
        <v>102</v>
      </c>
      <c r="E651">
        <v>2023</v>
      </c>
      <c r="F651" t="s">
        <v>4446</v>
      </c>
      <c r="G651" s="6" t="s">
        <v>4447</v>
      </c>
      <c r="H651" t="s">
        <v>4448</v>
      </c>
      <c r="K651" t="s">
        <v>4449</v>
      </c>
      <c r="L651" t="s">
        <v>4450</v>
      </c>
      <c r="M651" t="s">
        <v>4451</v>
      </c>
      <c r="N651" t="s">
        <v>4452</v>
      </c>
      <c r="O651" s="1">
        <v>45783.306377314817</v>
      </c>
      <c r="P651" s="1">
        <v>45784.290335648147</v>
      </c>
      <c r="T651">
        <v>3</v>
      </c>
      <c r="U651">
        <v>7</v>
      </c>
      <c r="AL651" t="s">
        <v>3263</v>
      </c>
      <c r="AP651" t="s">
        <v>4453</v>
      </c>
    </row>
    <row r="652" spans="1:74" x14ac:dyDescent="0.2">
      <c r="A652" t="s">
        <v>6684</v>
      </c>
      <c r="B652" t="s">
        <v>7035</v>
      </c>
      <c r="C652" t="s">
        <v>1971</v>
      </c>
      <c r="D652" t="s">
        <v>102</v>
      </c>
      <c r="E652">
        <v>2021</v>
      </c>
      <c r="F652" t="s">
        <v>1972</v>
      </c>
      <c r="G652" s="6" t="s">
        <v>1973</v>
      </c>
      <c r="H652" t="s">
        <v>1974</v>
      </c>
      <c r="J652" t="s">
        <v>1975</v>
      </c>
      <c r="K652" t="s">
        <v>1976</v>
      </c>
      <c r="L652" t="s">
        <v>1977</v>
      </c>
      <c r="M652" t="s">
        <v>1978</v>
      </c>
      <c r="N652">
        <v>2021</v>
      </c>
      <c r="O652" s="1">
        <v>45783.300162037034</v>
      </c>
      <c r="P652" s="1">
        <v>45783.300162037034</v>
      </c>
      <c r="U652">
        <v>126</v>
      </c>
      <c r="W652" t="s">
        <v>1979</v>
      </c>
      <c r="AE652" t="s">
        <v>645</v>
      </c>
      <c r="AH652" t="s">
        <v>646</v>
      </c>
      <c r="AL652" t="s">
        <v>706</v>
      </c>
      <c r="AP652" t="s">
        <v>1980</v>
      </c>
    </row>
    <row r="653" spans="1:74" x14ac:dyDescent="0.2">
      <c r="A653" t="s">
        <v>7034</v>
      </c>
      <c r="B653" t="s">
        <v>7054</v>
      </c>
      <c r="C653" t="s">
        <v>101</v>
      </c>
      <c r="D653" t="s">
        <v>102</v>
      </c>
      <c r="E653">
        <v>2025</v>
      </c>
      <c r="F653" t="s">
        <v>103</v>
      </c>
      <c r="G653" s="6" t="s">
        <v>104</v>
      </c>
      <c r="H653" t="s">
        <v>105</v>
      </c>
      <c r="J653" t="s">
        <v>106</v>
      </c>
      <c r="K653" t="s">
        <v>107</v>
      </c>
      <c r="L653" t="s">
        <v>108</v>
      </c>
      <c r="N653" s="2">
        <v>45679</v>
      </c>
      <c r="O653" s="1">
        <v>45783.292916666665</v>
      </c>
      <c r="P653" s="1">
        <v>45783.292916666665</v>
      </c>
      <c r="Q653" s="1">
        <v>45783.292916666665</v>
      </c>
      <c r="W653" t="s">
        <v>109</v>
      </c>
      <c r="X653" t="s">
        <v>110</v>
      </c>
      <c r="AE653" t="s">
        <v>97</v>
      </c>
      <c r="AJ653" t="s">
        <v>98</v>
      </c>
    </row>
  </sheetData>
  <autoFilter ref="A1:CK653" xr:uid="{7F796FC9-93E8-D145-872A-C5A1956C674C}">
    <sortState xmlns:xlrd2="http://schemas.microsoft.com/office/spreadsheetml/2017/richdata2" ref="A5:CK653">
      <sortCondition ref="G1:G653"/>
    </sortState>
  </autoFilter>
  <hyperlinks>
    <hyperlink ref="L280" r:id="rId1" xr:uid="{A3D44B13-795B-384B-BAF3-505CEF26B131}"/>
  </hyperlinks>
  <pageMargins left="0.78740157499999996" right="0.78740157499999996" top="0.984251969" bottom="0.984251969" header="0.4921259845" footer="0.492125984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15D2B-C3D6-0F4E-9C28-315163B62B8F}">
  <sheetPr filterMode="1"/>
  <dimension ref="A1:L123"/>
  <sheetViews>
    <sheetView topLeftCell="D1" zoomScale="120" zoomScaleNormal="120" workbookViewId="0">
      <pane ySplit="1" topLeftCell="A7" activePane="bottomLeft" state="frozen"/>
      <selection pane="bottomLeft" activeCell="L125" sqref="L125"/>
    </sheetView>
  </sheetViews>
  <sheetFormatPr baseColWidth="10" defaultRowHeight="16" x14ac:dyDescent="0.2"/>
  <cols>
    <col min="1" max="1" width="17.33203125" customWidth="1"/>
    <col min="2" max="2" width="28.5" customWidth="1"/>
    <col min="3" max="3" width="91.1640625" customWidth="1"/>
    <col min="4" max="4" width="18.5" customWidth="1"/>
    <col min="5" max="5" width="107.6640625" style="6" customWidth="1"/>
    <col min="6" max="6" width="17" bestFit="1" customWidth="1"/>
    <col min="7" max="7" width="36.33203125" bestFit="1" customWidth="1"/>
    <col min="8" max="8" width="40.5" bestFit="1" customWidth="1"/>
    <col min="9" max="9" width="21" bestFit="1" customWidth="1"/>
    <col min="12" max="12" width="135.6640625" bestFit="1" customWidth="1"/>
  </cols>
  <sheetData>
    <row r="1" spans="1:12" s="6" customFormat="1" x14ac:dyDescent="0.2">
      <c r="A1" s="6" t="s">
        <v>6677</v>
      </c>
      <c r="B1" s="6" t="s">
        <v>7057</v>
      </c>
      <c r="C1" s="6" t="s">
        <v>36</v>
      </c>
      <c r="D1" s="6" t="s">
        <v>3</v>
      </c>
      <c r="E1" s="6" t="s">
        <v>4</v>
      </c>
      <c r="F1" s="6" t="s">
        <v>2</v>
      </c>
      <c r="G1" s="6" t="s">
        <v>7060</v>
      </c>
      <c r="H1" s="6" t="s">
        <v>7061</v>
      </c>
      <c r="I1" s="6" t="s">
        <v>6680</v>
      </c>
      <c r="J1" s="6" t="s">
        <v>6681</v>
      </c>
      <c r="K1" s="6" t="s">
        <v>6683</v>
      </c>
      <c r="L1" s="6" t="s">
        <v>7105</v>
      </c>
    </row>
    <row r="2" spans="1:12" hidden="1" x14ac:dyDescent="0.2">
      <c r="A2" t="s">
        <v>6686</v>
      </c>
      <c r="B2" t="str">
        <f>_xlfn.XLOOKUP(E2,'Title Abstract Screening'!G:G,'Title Abstract Screening'!B:B,"")</f>
        <v>physiological factors</v>
      </c>
      <c r="C2" t="s">
        <v>6688</v>
      </c>
      <c r="D2" t="s">
        <v>6007</v>
      </c>
      <c r="E2" s="6" t="s">
        <v>6008</v>
      </c>
      <c r="F2">
        <v>2023</v>
      </c>
      <c r="G2" t="s">
        <v>6689</v>
      </c>
      <c r="H2" t="s">
        <v>6690</v>
      </c>
      <c r="I2" t="s">
        <v>6691</v>
      </c>
      <c r="J2">
        <v>86</v>
      </c>
      <c r="K2" t="s">
        <v>6692</v>
      </c>
      <c r="L2" t="s">
        <v>6693</v>
      </c>
    </row>
    <row r="3" spans="1:12" hidden="1" x14ac:dyDescent="0.2">
      <c r="A3" t="s">
        <v>6686</v>
      </c>
      <c r="B3" t="str">
        <f>_xlfn.XLOOKUP(E3,'Title Abstract Screening'!G:G,'Title Abstract Screening'!B:B,"")</f>
        <v>usability evaluation unclear, read fulltext</v>
      </c>
      <c r="C3" t="s">
        <v>7066</v>
      </c>
      <c r="D3" t="s">
        <v>4620</v>
      </c>
      <c r="E3" s="6" t="s">
        <v>4621</v>
      </c>
      <c r="F3">
        <v>2010</v>
      </c>
      <c r="G3" t="s">
        <v>6687</v>
      </c>
      <c r="H3" t="s">
        <v>6695</v>
      </c>
      <c r="J3" t="s">
        <v>6696</v>
      </c>
      <c r="K3" t="s">
        <v>6697</v>
      </c>
      <c r="L3" t="s">
        <v>6694</v>
      </c>
    </row>
    <row r="4" spans="1:12" hidden="1" x14ac:dyDescent="0.2">
      <c r="A4" t="s">
        <v>6686</v>
      </c>
      <c r="B4" t="str">
        <f>_xlfn.XLOOKUP(E4,'Title Abstract Screening'!G:G,'Title Abstract Screening'!B:B,"")</f>
        <v>multimodal ux NN</v>
      </c>
      <c r="C4" t="s">
        <v>7094</v>
      </c>
      <c r="D4" t="s">
        <v>3977</v>
      </c>
      <c r="E4" s="7" t="s">
        <v>3978</v>
      </c>
      <c r="F4">
        <v>2025</v>
      </c>
      <c r="G4" t="s">
        <v>7059</v>
      </c>
      <c r="H4" t="s">
        <v>6728</v>
      </c>
    </row>
    <row r="5" spans="1:12" hidden="1" x14ac:dyDescent="0.2">
      <c r="A5" t="s">
        <v>6686</v>
      </c>
      <c r="B5" t="str">
        <f>_xlfn.XLOOKUP(E5,'Title Abstract Screening'!G:G,'Title Abstract Screening'!B:B,"")</f>
        <v>physiological factors</v>
      </c>
      <c r="C5" t="s">
        <v>6702</v>
      </c>
      <c r="D5" t="s">
        <v>4415</v>
      </c>
      <c r="E5" s="6" t="s">
        <v>4416</v>
      </c>
      <c r="F5">
        <v>2016</v>
      </c>
      <c r="G5" t="s">
        <v>6698</v>
      </c>
      <c r="H5" t="s">
        <v>6700</v>
      </c>
      <c r="I5" t="s">
        <v>6701</v>
      </c>
      <c r="J5">
        <v>36</v>
      </c>
      <c r="K5" t="s">
        <v>6692</v>
      </c>
      <c r="L5" t="s">
        <v>6699</v>
      </c>
    </row>
    <row r="6" spans="1:12" hidden="1" x14ac:dyDescent="0.2">
      <c r="A6" t="s">
        <v>6686</v>
      </c>
      <c r="B6" t="str">
        <f>_xlfn.XLOOKUP(E6,'Title Abstract Screening'!G:G,'Title Abstract Screening'!B:B,"")</f>
        <v>automation unclear, read fulltext</v>
      </c>
      <c r="C6" t="s">
        <v>6674</v>
      </c>
      <c r="D6" t="s">
        <v>3828</v>
      </c>
      <c r="E6" s="6" t="s">
        <v>3829</v>
      </c>
      <c r="F6">
        <v>2008</v>
      </c>
      <c r="G6" t="s">
        <v>6704</v>
      </c>
      <c r="H6" t="s">
        <v>6705</v>
      </c>
      <c r="J6">
        <v>2</v>
      </c>
      <c r="K6" t="s">
        <v>6692</v>
      </c>
      <c r="L6" t="s">
        <v>6703</v>
      </c>
    </row>
    <row r="7" spans="1:12" x14ac:dyDescent="0.2">
      <c r="A7" t="s">
        <v>6706</v>
      </c>
      <c r="B7" t="str">
        <f>_xlfn.XLOOKUP(E7,'Title Abstract Screening'!G:G,'Title Abstract Screening'!B:B,"")</f>
        <v>physiological factors</v>
      </c>
      <c r="C7" t="s">
        <v>7087</v>
      </c>
      <c r="D7" t="s">
        <v>6231</v>
      </c>
      <c r="E7" s="6" t="s">
        <v>6232</v>
      </c>
      <c r="F7">
        <v>2015</v>
      </c>
    </row>
    <row r="8" spans="1:12" hidden="1" x14ac:dyDescent="0.2">
      <c r="A8" t="s">
        <v>6686</v>
      </c>
      <c r="B8" t="str">
        <f>_xlfn.XLOOKUP(E8,'Title Abstract Screening'!G:G,'Title Abstract Screening'!B:B,"")</f>
        <v>head rotation frequency</v>
      </c>
      <c r="C8" s="11" t="s">
        <v>7099</v>
      </c>
      <c r="D8" t="s">
        <v>1486</v>
      </c>
      <c r="E8" s="6" t="s">
        <v>2036</v>
      </c>
      <c r="F8">
        <v>2020</v>
      </c>
      <c r="G8" t="s">
        <v>6707</v>
      </c>
      <c r="H8" t="s">
        <v>6708</v>
      </c>
      <c r="I8" t="s">
        <v>6709</v>
      </c>
      <c r="J8">
        <v>48</v>
      </c>
      <c r="K8" t="s">
        <v>6697</v>
      </c>
      <c r="L8" t="s">
        <v>6710</v>
      </c>
    </row>
    <row r="9" spans="1:12" x14ac:dyDescent="0.2">
      <c r="A9" t="s">
        <v>6684</v>
      </c>
      <c r="B9" t="str">
        <f>_xlfn.XLOOKUP(E9,'Title Abstract Screening'!G:G,'Title Abstract Screening'!B:B,"")</f>
        <v>usability evaluation unclear, read fulltext</v>
      </c>
      <c r="C9" t="s">
        <v>7067</v>
      </c>
      <c r="D9" t="s">
        <v>5024</v>
      </c>
      <c r="E9" s="6" t="s">
        <v>5025</v>
      </c>
      <c r="F9">
        <v>2001</v>
      </c>
      <c r="K9" t="s">
        <v>6697</v>
      </c>
    </row>
    <row r="10" spans="1:12" x14ac:dyDescent="0.2">
      <c r="A10" t="s">
        <v>6684</v>
      </c>
      <c r="B10" t="str">
        <f>_xlfn.XLOOKUP(E10,'Title Abstract Screening'!G:G,'Title Abstract Screening'!B:B,"")</f>
        <v>automation unclear, read fulltext</v>
      </c>
      <c r="C10" t="s">
        <v>7067</v>
      </c>
      <c r="D10" t="s">
        <v>875</v>
      </c>
      <c r="E10" s="6" t="s">
        <v>876</v>
      </c>
      <c r="F10">
        <v>2024</v>
      </c>
      <c r="G10" t="s">
        <v>6711</v>
      </c>
      <c r="H10" t="s">
        <v>6712</v>
      </c>
      <c r="I10" t="s">
        <v>6712</v>
      </c>
      <c r="J10">
        <v>60</v>
      </c>
      <c r="K10" t="s">
        <v>6712</v>
      </c>
    </row>
    <row r="11" spans="1:12" hidden="1" x14ac:dyDescent="0.2">
      <c r="A11" t="s">
        <v>6686</v>
      </c>
      <c r="B11" t="str">
        <f>_xlfn.XLOOKUP(E11,'Title Abstract Screening'!G:G,'Title Abstract Screening'!B:B,"")</f>
        <v>agent based</v>
      </c>
      <c r="C11" t="s">
        <v>7089</v>
      </c>
      <c r="D11" t="s">
        <v>5192</v>
      </c>
      <c r="E11" s="6" t="s">
        <v>5193</v>
      </c>
      <c r="F11">
        <v>2020</v>
      </c>
      <c r="G11" t="s">
        <v>6713</v>
      </c>
      <c r="K11" t="s">
        <v>6714</v>
      </c>
      <c r="L11" t="s">
        <v>7112</v>
      </c>
    </row>
    <row r="12" spans="1:12" x14ac:dyDescent="0.2">
      <c r="A12" t="s">
        <v>6684</v>
      </c>
      <c r="B12" t="str">
        <f>_xlfn.XLOOKUP(E12,'Title Abstract Screening'!G:G,'Title Abstract Screening'!B:B,"")</f>
        <v>usability evaluation unclear, read fulltext</v>
      </c>
      <c r="C12" t="s">
        <v>7068</v>
      </c>
      <c r="D12" t="s">
        <v>886</v>
      </c>
      <c r="E12" s="6" t="s">
        <v>887</v>
      </c>
      <c r="F12">
        <v>2024</v>
      </c>
    </row>
    <row r="13" spans="1:12" hidden="1" x14ac:dyDescent="0.2">
      <c r="A13" t="s">
        <v>6686</v>
      </c>
      <c r="B13" t="str">
        <f>_xlfn.XLOOKUP(E13,'Title Abstract Screening'!G:G,'Title Abstract Screening'!B:B,"")</f>
        <v>physiological factors</v>
      </c>
      <c r="C13" t="s">
        <v>6718</v>
      </c>
      <c r="D13" t="s">
        <v>4759</v>
      </c>
      <c r="E13" s="6" t="s">
        <v>4760</v>
      </c>
      <c r="F13">
        <v>2018</v>
      </c>
      <c r="G13" t="s">
        <v>6715</v>
      </c>
      <c r="H13" t="s">
        <v>6716</v>
      </c>
      <c r="I13" t="s">
        <v>6719</v>
      </c>
      <c r="J13">
        <v>25</v>
      </c>
      <c r="K13" t="s">
        <v>6692</v>
      </c>
      <c r="L13" t="s">
        <v>6717</v>
      </c>
    </row>
    <row r="14" spans="1:12" x14ac:dyDescent="0.2">
      <c r="A14" t="s">
        <v>6684</v>
      </c>
      <c r="B14" t="str">
        <f>_xlfn.XLOOKUP(E14,'Title Abstract Screening'!G:G,'Title Abstract Screening'!B:B,"")</f>
        <v>test-case generation</v>
      </c>
      <c r="C14" t="s">
        <v>7068</v>
      </c>
      <c r="D14" t="s">
        <v>2602</v>
      </c>
      <c r="E14" s="6" t="s">
        <v>2603</v>
      </c>
      <c r="F14">
        <v>2018</v>
      </c>
    </row>
    <row r="15" spans="1:12" hidden="1" x14ac:dyDescent="0.2">
      <c r="A15" t="s">
        <v>6686</v>
      </c>
      <c r="B15" t="str">
        <f>_xlfn.XLOOKUP(E15,'Title Abstract Screening'!G:G,'Title Abstract Screening'!B:B,"")</f>
        <v>face tracking</v>
      </c>
      <c r="C15" t="s">
        <v>6723</v>
      </c>
      <c r="D15" t="s">
        <v>1486</v>
      </c>
      <c r="E15" s="6" t="s">
        <v>1487</v>
      </c>
      <c r="F15">
        <v>2020</v>
      </c>
      <c r="G15" t="s">
        <v>6661</v>
      </c>
      <c r="H15" t="s">
        <v>6720</v>
      </c>
      <c r="I15" t="s">
        <v>6722</v>
      </c>
      <c r="J15">
        <v>48</v>
      </c>
      <c r="K15" t="s">
        <v>6697</v>
      </c>
      <c r="L15" t="s">
        <v>6721</v>
      </c>
    </row>
    <row r="16" spans="1:12" hidden="1" x14ac:dyDescent="0.2">
      <c r="A16" t="s">
        <v>6686</v>
      </c>
      <c r="B16" t="str">
        <f>_xlfn.XLOOKUP(E16,'Title Abstract Screening'!G:G,'Title Abstract Screening'!B:B,"")</f>
        <v>automation unclear, read fulltext</v>
      </c>
      <c r="C16" t="s">
        <v>7094</v>
      </c>
      <c r="D16" t="s">
        <v>6214</v>
      </c>
      <c r="E16" s="6" t="s">
        <v>6215</v>
      </c>
      <c r="F16">
        <v>2021</v>
      </c>
      <c r="G16" t="s">
        <v>6725</v>
      </c>
      <c r="H16" t="s">
        <v>6724</v>
      </c>
      <c r="J16">
        <v>48</v>
      </c>
      <c r="K16" t="s">
        <v>6692</v>
      </c>
    </row>
    <row r="17" spans="1:12" hidden="1" x14ac:dyDescent="0.2">
      <c r="A17" t="s">
        <v>6686</v>
      </c>
      <c r="B17" t="str">
        <f>_xlfn.XLOOKUP(E17,'Title Abstract Screening'!G:G,'Title Abstract Screening'!B:B,"")</f>
        <v>Event-based</v>
      </c>
      <c r="C17" t="s">
        <v>6726</v>
      </c>
      <c r="D17" t="s">
        <v>5885</v>
      </c>
      <c r="E17" s="6" t="s">
        <v>5886</v>
      </c>
      <c r="F17">
        <v>2019</v>
      </c>
      <c r="G17" t="s">
        <v>6727</v>
      </c>
      <c r="H17" t="s">
        <v>6728</v>
      </c>
      <c r="I17" t="s">
        <v>6712</v>
      </c>
      <c r="J17">
        <v>80</v>
      </c>
      <c r="K17" t="s">
        <v>6692</v>
      </c>
      <c r="L17" t="s">
        <v>6729</v>
      </c>
    </row>
    <row r="18" spans="1:12" x14ac:dyDescent="0.2">
      <c r="A18" t="s">
        <v>6684</v>
      </c>
      <c r="B18" t="str">
        <f>_xlfn.XLOOKUP(E18,'Title Abstract Screening'!G:G,'Title Abstract Screening'!B:B,"")</f>
        <v>sentiment</v>
      </c>
      <c r="C18" t="s">
        <v>7058</v>
      </c>
      <c r="D18" t="s">
        <v>2298</v>
      </c>
      <c r="E18" s="6" t="s">
        <v>2299</v>
      </c>
      <c r="F18">
        <v>2019</v>
      </c>
      <c r="J18">
        <v>133</v>
      </c>
    </row>
    <row r="19" spans="1:12" x14ac:dyDescent="0.2">
      <c r="A19" t="s">
        <v>6684</v>
      </c>
      <c r="B19" t="str">
        <f>_xlfn.XLOOKUP(E19,'Title Abstract Screening'!G:G,'Title Abstract Screening'!B:B,"")</f>
        <v>agent based</v>
      </c>
      <c r="C19" t="s">
        <v>7058</v>
      </c>
      <c r="D19" t="s">
        <v>2783</v>
      </c>
      <c r="E19" s="6" t="s">
        <v>2784</v>
      </c>
      <c r="F19">
        <v>2019</v>
      </c>
    </row>
    <row r="20" spans="1:12" x14ac:dyDescent="0.2">
      <c r="A20" t="s">
        <v>6684</v>
      </c>
      <c r="B20" t="str">
        <f>_xlfn.XLOOKUP(E20,'Title Abstract Screening'!G:G,'Title Abstract Screening'!B:B,"")</f>
        <v>automation unclear, read fulltext</v>
      </c>
      <c r="C20" t="s">
        <v>7035</v>
      </c>
      <c r="D20" t="s">
        <v>4066</v>
      </c>
      <c r="E20" s="6" t="s">
        <v>4067</v>
      </c>
      <c r="F20">
        <v>2018</v>
      </c>
    </row>
    <row r="21" spans="1:12" x14ac:dyDescent="0.2">
      <c r="A21" t="s">
        <v>6684</v>
      </c>
      <c r="B21" t="str">
        <f>_xlfn.XLOOKUP(E21,'Title Abstract Screening'!G:G,'Title Abstract Screening'!B:B,"")</f>
        <v>usability evaluation unclear, read fulltext</v>
      </c>
      <c r="C21" t="s">
        <v>7067</v>
      </c>
      <c r="D21" t="s">
        <v>6304</v>
      </c>
      <c r="E21" s="6" t="s">
        <v>6305</v>
      </c>
      <c r="F21">
        <v>2019</v>
      </c>
      <c r="G21" t="s">
        <v>6730</v>
      </c>
      <c r="H21" t="s">
        <v>6731</v>
      </c>
      <c r="J21">
        <v>49</v>
      </c>
      <c r="K21" t="s">
        <v>6692</v>
      </c>
      <c r="L21" t="s">
        <v>6732</v>
      </c>
    </row>
    <row r="22" spans="1:12" x14ac:dyDescent="0.2">
      <c r="A22" t="s">
        <v>6684</v>
      </c>
      <c r="B22" t="str">
        <f>_xlfn.XLOOKUP(E22,'Title Abstract Screening'!G:G,'Title Abstract Screening'!B:B,"")</f>
        <v>usability evaluation unclear, read fulltext</v>
      </c>
      <c r="C22" t="s">
        <v>6685</v>
      </c>
      <c r="D22" t="s">
        <v>6374</v>
      </c>
      <c r="E22" s="6" t="s">
        <v>6375</v>
      </c>
      <c r="F22">
        <v>2023</v>
      </c>
    </row>
    <row r="23" spans="1:12" hidden="1" x14ac:dyDescent="0.2">
      <c r="A23" t="s">
        <v>6686</v>
      </c>
      <c r="B23" t="str">
        <f>_xlfn.XLOOKUP(E23,'Title Abstract Screening'!G:G,'Title Abstract Screening'!B:B,"")</f>
        <v>AutoQUEST</v>
      </c>
      <c r="C23" t="s">
        <v>6733</v>
      </c>
      <c r="D23" t="s">
        <v>3438</v>
      </c>
      <c r="E23" s="6" t="s">
        <v>3439</v>
      </c>
      <c r="F23">
        <v>2019</v>
      </c>
      <c r="G23" t="s">
        <v>6737</v>
      </c>
      <c r="H23" t="s">
        <v>6735</v>
      </c>
      <c r="I23" t="s">
        <v>6736</v>
      </c>
      <c r="J23">
        <v>84</v>
      </c>
      <c r="K23" t="s">
        <v>6692</v>
      </c>
      <c r="L23" t="s">
        <v>6734</v>
      </c>
    </row>
    <row r="24" spans="1:12" x14ac:dyDescent="0.2">
      <c r="A24" t="s">
        <v>6684</v>
      </c>
      <c r="B24" t="str">
        <f>_xlfn.XLOOKUP(E24,'Title Abstract Screening'!G:G,'Title Abstract Screening'!B:B,"")</f>
        <v>AutoQUEST</v>
      </c>
      <c r="C24" t="s">
        <v>7046</v>
      </c>
      <c r="D24" t="s">
        <v>3803</v>
      </c>
      <c r="E24" s="6" t="s">
        <v>3804</v>
      </c>
      <c r="F24">
        <v>2022</v>
      </c>
    </row>
    <row r="25" spans="1:12" hidden="1" x14ac:dyDescent="0.2">
      <c r="A25" t="s">
        <v>6686</v>
      </c>
      <c r="B25" t="str">
        <f>_xlfn.XLOOKUP(E25,'Title Abstract Screening'!G:G,'Title Abstract Screening'!B:B,"")</f>
        <v>AutoQUEST</v>
      </c>
      <c r="C25" s="11" t="s">
        <v>7099</v>
      </c>
      <c r="D25" t="s">
        <v>391</v>
      </c>
      <c r="E25" s="6" t="s">
        <v>6675</v>
      </c>
      <c r="F25">
        <v>2022</v>
      </c>
      <c r="G25" t="s">
        <v>6738</v>
      </c>
      <c r="H25" t="s">
        <v>6739</v>
      </c>
      <c r="I25" t="s">
        <v>7111</v>
      </c>
      <c r="J25">
        <v>14</v>
      </c>
      <c r="K25" t="s">
        <v>6692</v>
      </c>
      <c r="L25" t="s">
        <v>6740</v>
      </c>
    </row>
    <row r="26" spans="1:12" x14ac:dyDescent="0.2">
      <c r="A26" t="s">
        <v>6684</v>
      </c>
      <c r="B26" t="str">
        <f>_xlfn.XLOOKUP(E26,'Title Abstract Screening'!G:G,'Title Abstract Screening'!B:B,"")</f>
        <v>usability evaluation unclear, read fulltext</v>
      </c>
      <c r="C26" t="s">
        <v>7058</v>
      </c>
      <c r="D26" t="s">
        <v>2500</v>
      </c>
      <c r="E26" s="6" t="s">
        <v>2501</v>
      </c>
      <c r="F26">
        <v>2012</v>
      </c>
      <c r="G26" t="s">
        <v>6742</v>
      </c>
      <c r="J26">
        <v>54</v>
      </c>
      <c r="K26" t="s">
        <v>6743</v>
      </c>
      <c r="L26" t="s">
        <v>6741</v>
      </c>
    </row>
    <row r="27" spans="1:12" hidden="1" x14ac:dyDescent="0.2">
      <c r="A27" t="s">
        <v>6686</v>
      </c>
      <c r="B27" t="str">
        <f>_xlfn.XLOOKUP(E27,'Title Abstract Screening'!G:G,'Title Abstract Screening'!B:B,"")</f>
        <v>usability evaluation unclear, read fulltext</v>
      </c>
      <c r="C27" s="11" t="s">
        <v>7099</v>
      </c>
      <c r="D27" t="s">
        <v>2002</v>
      </c>
      <c r="E27" s="6" t="s">
        <v>2003</v>
      </c>
      <c r="F27">
        <v>2022</v>
      </c>
      <c r="G27" t="s">
        <v>6745</v>
      </c>
      <c r="H27" t="s">
        <v>6746</v>
      </c>
      <c r="I27" t="s">
        <v>6747</v>
      </c>
      <c r="J27">
        <v>19</v>
      </c>
      <c r="K27" t="s">
        <v>6697</v>
      </c>
      <c r="L27" t="s">
        <v>6744</v>
      </c>
    </row>
    <row r="28" spans="1:12" x14ac:dyDescent="0.2">
      <c r="A28" t="s">
        <v>6684</v>
      </c>
      <c r="B28" t="str">
        <f>_xlfn.XLOOKUP(E28,'Title Abstract Screening'!G:G,'Title Abstract Screening'!B:B,"")</f>
        <v>usability evaluation unclear, read fulltext</v>
      </c>
      <c r="C28" t="s">
        <v>6685</v>
      </c>
      <c r="D28" t="s">
        <v>6508</v>
      </c>
      <c r="E28" s="6" t="s">
        <v>6509</v>
      </c>
      <c r="F28">
        <v>2024</v>
      </c>
    </row>
    <row r="29" spans="1:12" x14ac:dyDescent="0.2">
      <c r="A29" t="s">
        <v>6684</v>
      </c>
      <c r="B29" t="str">
        <f>_xlfn.XLOOKUP(E29,'Title Abstract Screening'!G:G,'Title Abstract Screening'!B:B,"")</f>
        <v>agent based</v>
      </c>
      <c r="C29" t="s">
        <v>7081</v>
      </c>
      <c r="D29" t="s">
        <v>1910</v>
      </c>
      <c r="E29" s="6" t="s">
        <v>1911</v>
      </c>
      <c r="F29">
        <v>2021</v>
      </c>
      <c r="G29" t="s">
        <v>6749</v>
      </c>
      <c r="H29" t="s">
        <v>6748</v>
      </c>
      <c r="K29" t="s">
        <v>6750</v>
      </c>
    </row>
    <row r="30" spans="1:12" x14ac:dyDescent="0.2">
      <c r="A30" t="s">
        <v>6684</v>
      </c>
      <c r="B30" t="str">
        <f>_xlfn.XLOOKUP(E30,'Title Abstract Screening'!G:G,'Title Abstract Screening'!B:B,"")</f>
        <v xml:space="preserve">distance, time &amp; collisions </v>
      </c>
      <c r="C30" t="s">
        <v>7067</v>
      </c>
      <c r="D30" t="s">
        <v>907</v>
      </c>
      <c r="E30" s="6" t="s">
        <v>908</v>
      </c>
      <c r="F30">
        <v>2025</v>
      </c>
      <c r="J30">
        <v>20</v>
      </c>
      <c r="K30" t="s">
        <v>6692</v>
      </c>
      <c r="L30" t="s">
        <v>6751</v>
      </c>
    </row>
    <row r="31" spans="1:12" x14ac:dyDescent="0.2">
      <c r="A31" t="s">
        <v>6684</v>
      </c>
      <c r="B31" t="str">
        <f>_xlfn.XLOOKUP(E31,'Title Abstract Screening'!G:G,'Title Abstract Screening'!B:B,"")</f>
        <v>usability evaluation unclear, read fulltext</v>
      </c>
      <c r="C31" t="s">
        <v>7068</v>
      </c>
      <c r="D31" t="s">
        <v>5660</v>
      </c>
      <c r="E31" s="6" t="s">
        <v>5661</v>
      </c>
      <c r="F31">
        <v>2023</v>
      </c>
      <c r="J31">
        <v>16</v>
      </c>
      <c r="K31" t="s">
        <v>6692</v>
      </c>
    </row>
    <row r="32" spans="1:12" x14ac:dyDescent="0.2">
      <c r="A32" t="s">
        <v>6684</v>
      </c>
      <c r="B32" t="str">
        <f>_xlfn.XLOOKUP(E32,'Title Abstract Screening'!G:G,'Title Abstract Screening'!B:B,"")</f>
        <v>automation unclear, read fulltext</v>
      </c>
      <c r="C32" t="s">
        <v>7046</v>
      </c>
      <c r="D32" t="s">
        <v>569</v>
      </c>
      <c r="E32" s="6" t="s">
        <v>570</v>
      </c>
      <c r="F32">
        <v>2013</v>
      </c>
    </row>
    <row r="33" spans="1:12" x14ac:dyDescent="0.2">
      <c r="A33" t="s">
        <v>6684</v>
      </c>
      <c r="B33" t="str">
        <f>_xlfn.XLOOKUP(E33,'Title Abstract Screening'!G:G,'Title Abstract Screening'!B:B,"")</f>
        <v>only heuristics</v>
      </c>
      <c r="C33" t="s">
        <v>7053</v>
      </c>
      <c r="D33" t="s">
        <v>3584</v>
      </c>
      <c r="E33" s="6" t="s">
        <v>3585</v>
      </c>
      <c r="F33">
        <v>2020</v>
      </c>
    </row>
    <row r="34" spans="1:12" x14ac:dyDescent="0.2">
      <c r="A34" t="s">
        <v>6684</v>
      </c>
      <c r="B34" t="str">
        <f>_xlfn.XLOOKUP(E34,'Title Abstract Screening'!G:G,'Title Abstract Screening'!B:B,"")</f>
        <v>automation unclear, read fulltext</v>
      </c>
      <c r="C34" t="s">
        <v>7035</v>
      </c>
      <c r="D34" t="s">
        <v>5182</v>
      </c>
      <c r="E34" s="6" t="s">
        <v>5183</v>
      </c>
      <c r="F34">
        <v>2025</v>
      </c>
    </row>
    <row r="35" spans="1:12" x14ac:dyDescent="0.2">
      <c r="A35" t="s">
        <v>6684</v>
      </c>
      <c r="B35" t="str">
        <f>_xlfn.XLOOKUP(E35,'Title Abstract Screening'!G:G,'Title Abstract Screening'!B:B,"")</f>
        <v>automation unclear, read fulltext</v>
      </c>
      <c r="C35" t="s">
        <v>7072</v>
      </c>
      <c r="D35" t="s">
        <v>2960</v>
      </c>
      <c r="E35" s="6" t="s">
        <v>2961</v>
      </c>
      <c r="F35">
        <v>2017</v>
      </c>
    </row>
    <row r="36" spans="1:12" hidden="1" x14ac:dyDescent="0.2">
      <c r="A36" t="s">
        <v>6686</v>
      </c>
      <c r="B36" t="str">
        <f>_xlfn.XLOOKUP(E36,'Title Abstract Screening'!G:G,'Title Abstract Screening'!B:B,"")</f>
        <v>physiological factors</v>
      </c>
      <c r="C36" t="s">
        <v>6715</v>
      </c>
      <c r="D36" t="s">
        <v>5375</v>
      </c>
      <c r="E36" s="6" t="s">
        <v>5376</v>
      </c>
      <c r="F36">
        <v>2017</v>
      </c>
      <c r="G36" t="s">
        <v>6752</v>
      </c>
      <c r="H36" t="s">
        <v>6753</v>
      </c>
      <c r="I36" t="s">
        <v>6754</v>
      </c>
      <c r="J36">
        <v>32</v>
      </c>
      <c r="K36" t="s">
        <v>6692</v>
      </c>
      <c r="L36" t="s">
        <v>6752</v>
      </c>
    </row>
    <row r="37" spans="1:12" hidden="1" x14ac:dyDescent="0.2">
      <c r="A37" t="s">
        <v>6686</v>
      </c>
      <c r="B37" t="str">
        <f>_xlfn.XLOOKUP(E37,'Title Abstract Screening'!G:G,'Title Abstract Screening'!B:B,"")</f>
        <v>eye tracking</v>
      </c>
      <c r="C37" s="11" t="s">
        <v>7099</v>
      </c>
      <c r="D37" t="s">
        <v>2071</v>
      </c>
      <c r="E37" s="6" t="s">
        <v>2072</v>
      </c>
      <c r="F37">
        <v>2022</v>
      </c>
      <c r="G37" t="s">
        <v>6758</v>
      </c>
      <c r="H37" t="s">
        <v>6756</v>
      </c>
      <c r="I37" t="s">
        <v>6757</v>
      </c>
      <c r="J37">
        <v>40</v>
      </c>
      <c r="K37" t="s">
        <v>6692</v>
      </c>
      <c r="L37" t="s">
        <v>6755</v>
      </c>
    </row>
    <row r="38" spans="1:12" hidden="1" x14ac:dyDescent="0.2">
      <c r="A38" t="s">
        <v>6686</v>
      </c>
      <c r="B38" t="str">
        <f>_xlfn.XLOOKUP(E38,'Title Abstract Screening'!G:G,'Title Abstract Screening'!B:B,"")</f>
        <v>eye tracking</v>
      </c>
      <c r="C38" s="11" t="s">
        <v>7099</v>
      </c>
      <c r="D38" t="s">
        <v>5800</v>
      </c>
      <c r="E38" s="6" t="s">
        <v>5801</v>
      </c>
      <c r="F38">
        <v>2021</v>
      </c>
      <c r="G38" t="s">
        <v>6760</v>
      </c>
      <c r="H38" t="s">
        <v>6759</v>
      </c>
      <c r="I38" t="s">
        <v>6761</v>
      </c>
      <c r="J38">
        <v>18</v>
      </c>
      <c r="K38" t="s">
        <v>6697</v>
      </c>
      <c r="L38" t="s">
        <v>6762</v>
      </c>
    </row>
    <row r="39" spans="1:12" hidden="1" x14ac:dyDescent="0.2">
      <c r="A39" t="s">
        <v>6686</v>
      </c>
      <c r="B39" t="str">
        <f>_xlfn.XLOOKUP(E39,'Title Abstract Screening'!G:G,'Title Abstract Screening'!B:B,"")</f>
        <v>physiological factors</v>
      </c>
      <c r="C39" t="s">
        <v>6763</v>
      </c>
      <c r="D39" t="s">
        <v>1710</v>
      </c>
      <c r="E39" s="6" t="s">
        <v>1711</v>
      </c>
      <c r="F39">
        <v>2020</v>
      </c>
      <c r="G39" t="s">
        <v>6767</v>
      </c>
      <c r="H39" t="s">
        <v>6765</v>
      </c>
      <c r="I39" t="s">
        <v>6766</v>
      </c>
      <c r="J39">
        <v>60</v>
      </c>
      <c r="K39" t="s">
        <v>6692</v>
      </c>
      <c r="L39" t="s">
        <v>6764</v>
      </c>
    </row>
    <row r="40" spans="1:12" x14ac:dyDescent="0.2">
      <c r="A40" t="s">
        <v>6684</v>
      </c>
      <c r="B40" t="str">
        <f>_xlfn.XLOOKUP(E40,'Title Abstract Screening'!G:G,'Title Abstract Screening'!B:B,"")</f>
        <v>face tracking</v>
      </c>
      <c r="C40" t="s">
        <v>6798</v>
      </c>
      <c r="D40" t="s">
        <v>4076</v>
      </c>
      <c r="E40" s="6" t="s">
        <v>4077</v>
      </c>
      <c r="F40">
        <v>2023</v>
      </c>
      <c r="G40" t="s">
        <v>6769</v>
      </c>
      <c r="H40" t="s">
        <v>6770</v>
      </c>
      <c r="I40" t="s">
        <v>6771</v>
      </c>
      <c r="J40">
        <v>10</v>
      </c>
      <c r="K40" t="s">
        <v>6768</v>
      </c>
      <c r="L40" t="s">
        <v>6772</v>
      </c>
    </row>
    <row r="41" spans="1:12" hidden="1" x14ac:dyDescent="0.2">
      <c r="A41" t="s">
        <v>6686</v>
      </c>
      <c r="B41" t="str">
        <f>_xlfn.XLOOKUP(E41,'Title Abstract Screening'!G:G,'Title Abstract Screening'!B:B,"")</f>
        <v>eye tracking</v>
      </c>
      <c r="C41" s="11" t="s">
        <v>7099</v>
      </c>
      <c r="D41" t="s">
        <v>5530</v>
      </c>
      <c r="E41" s="6" t="s">
        <v>5531</v>
      </c>
      <c r="F41">
        <v>2025</v>
      </c>
      <c r="G41" t="s">
        <v>6775</v>
      </c>
      <c r="H41" t="s">
        <v>6774</v>
      </c>
      <c r="L41" t="s">
        <v>6773</v>
      </c>
    </row>
    <row r="42" spans="1:12" x14ac:dyDescent="0.2">
      <c r="A42" t="s">
        <v>6684</v>
      </c>
      <c r="B42" t="str">
        <f>_xlfn.XLOOKUP(E42,'Title Abstract Screening'!G:G,'Title Abstract Screening'!B:B,"")</f>
        <v>automation unclear, read fulltext</v>
      </c>
      <c r="C42" t="s">
        <v>7035</v>
      </c>
      <c r="D42" t="s">
        <v>6676</v>
      </c>
      <c r="E42" s="6" t="s">
        <v>710</v>
      </c>
      <c r="F42">
        <v>2025</v>
      </c>
      <c r="J42">
        <v>22</v>
      </c>
      <c r="K42" t="s">
        <v>6692</v>
      </c>
    </row>
    <row r="43" spans="1:12" x14ac:dyDescent="0.2">
      <c r="A43" t="s">
        <v>6684</v>
      </c>
      <c r="B43" t="str">
        <f>_xlfn.XLOOKUP(E43,'Title Abstract Screening'!G:G,'Title Abstract Screening'!B:B,"")</f>
        <v>RULA score as part of the application</v>
      </c>
      <c r="C43" t="s">
        <v>7035</v>
      </c>
      <c r="D43" t="s">
        <v>946</v>
      </c>
      <c r="E43" s="6" t="s">
        <v>947</v>
      </c>
      <c r="F43">
        <v>2025</v>
      </c>
    </row>
    <row r="44" spans="1:12" x14ac:dyDescent="0.2">
      <c r="A44" t="s">
        <v>6684</v>
      </c>
      <c r="B44" t="str">
        <f>_xlfn.XLOOKUP(E44,'Title Abstract Screening'!G:G,'Title Abstract Screening'!B:B,"")</f>
        <v>automation unclear, read fulltext</v>
      </c>
      <c r="C44" t="s">
        <v>7035</v>
      </c>
      <c r="D44" t="s">
        <v>4632</v>
      </c>
      <c r="E44" s="6" t="s">
        <v>4633</v>
      </c>
      <c r="F44">
        <v>2023</v>
      </c>
    </row>
    <row r="45" spans="1:12" x14ac:dyDescent="0.2">
      <c r="A45" t="s">
        <v>6684</v>
      </c>
      <c r="B45" t="str">
        <f>_xlfn.XLOOKUP(E45,'Title Abstract Screening'!G:G,'Title Abstract Screening'!B:B,"")</f>
        <v>eye tracking</v>
      </c>
      <c r="C45" t="s">
        <v>7083</v>
      </c>
      <c r="D45" t="s">
        <v>6133</v>
      </c>
      <c r="E45" s="6" t="s">
        <v>6134</v>
      </c>
      <c r="F45">
        <v>2021</v>
      </c>
      <c r="G45" t="s">
        <v>6776</v>
      </c>
    </row>
    <row r="46" spans="1:12" x14ac:dyDescent="0.2">
      <c r="A46" t="s">
        <v>6684</v>
      </c>
      <c r="B46" t="str">
        <f>_xlfn.XLOOKUP(E46,'Title Abstract Screening'!G:G,'Title Abstract Screening'!B:B,"")</f>
        <v>no automation, heuristics</v>
      </c>
      <c r="C46" t="s">
        <v>6777</v>
      </c>
      <c r="D46" t="s">
        <v>373</v>
      </c>
      <c r="E46" s="6" t="s">
        <v>374</v>
      </c>
      <c r="F46">
        <v>2023</v>
      </c>
    </row>
    <row r="47" spans="1:12" x14ac:dyDescent="0.2">
      <c r="A47" t="s">
        <v>6684</v>
      </c>
      <c r="B47" t="str">
        <f>_xlfn.XLOOKUP(E47,'Title Abstract Screening'!G:G,'Title Abstract Screening'!B:B,"")</f>
        <v>face tracking</v>
      </c>
      <c r="C47" t="s">
        <v>7069</v>
      </c>
      <c r="D47" t="s">
        <v>5807</v>
      </c>
      <c r="E47" s="6" t="s">
        <v>5808</v>
      </c>
      <c r="F47">
        <v>2017</v>
      </c>
      <c r="J47">
        <v>29</v>
      </c>
      <c r="K47" t="s">
        <v>6697</v>
      </c>
    </row>
    <row r="48" spans="1:12" hidden="1" x14ac:dyDescent="0.2">
      <c r="A48" t="s">
        <v>6686</v>
      </c>
      <c r="B48" t="str">
        <f>_xlfn.XLOOKUP(E48,'Title Abstract Screening'!G:G,'Title Abstract Screening'!B:B,"")</f>
        <v>heart rate skeleton</v>
      </c>
      <c r="C48" t="s">
        <v>7090</v>
      </c>
      <c r="D48" t="s">
        <v>1075</v>
      </c>
      <c r="E48" s="6" t="s">
        <v>1076</v>
      </c>
      <c r="F48">
        <v>2025</v>
      </c>
      <c r="G48" t="s">
        <v>7104</v>
      </c>
      <c r="H48" t="s">
        <v>6779</v>
      </c>
      <c r="I48" t="s">
        <v>7110</v>
      </c>
      <c r="J48">
        <v>11</v>
      </c>
      <c r="K48" t="s">
        <v>6692</v>
      </c>
      <c r="L48" t="s">
        <v>6778</v>
      </c>
    </row>
    <row r="49" spans="1:12" hidden="1" x14ac:dyDescent="0.2">
      <c r="A49" t="s">
        <v>6686</v>
      </c>
      <c r="B49" t="str">
        <f>_xlfn.XLOOKUP(E49,'Title Abstract Screening'!G:G,'Title Abstract Screening'!B:B,"")</f>
        <v>physiological factors</v>
      </c>
      <c r="C49" t="s">
        <v>6715</v>
      </c>
      <c r="D49" t="s">
        <v>6313</v>
      </c>
      <c r="E49" s="6" t="s">
        <v>6314</v>
      </c>
      <c r="F49">
        <v>2023</v>
      </c>
      <c r="G49" t="s">
        <v>6780</v>
      </c>
      <c r="H49" t="s">
        <v>6783</v>
      </c>
      <c r="I49" t="s">
        <v>6781</v>
      </c>
      <c r="J49">
        <v>27</v>
      </c>
      <c r="K49" t="s">
        <v>6692</v>
      </c>
      <c r="L49" t="s">
        <v>6782</v>
      </c>
    </row>
    <row r="50" spans="1:12" hidden="1" x14ac:dyDescent="0.2">
      <c r="A50" t="s">
        <v>6686</v>
      </c>
      <c r="B50" t="str">
        <f>_xlfn.XLOOKUP(E50,'Title Abstract Screening'!G:G,'Title Abstract Screening'!B:B,"")</f>
        <v>eye tracking</v>
      </c>
      <c r="C50" s="11" t="s">
        <v>7099</v>
      </c>
      <c r="D50" t="s">
        <v>1221</v>
      </c>
      <c r="E50" s="6" t="s">
        <v>1222</v>
      </c>
      <c r="F50">
        <v>2024</v>
      </c>
      <c r="G50" t="s">
        <v>6784</v>
      </c>
      <c r="H50" t="s">
        <v>6786</v>
      </c>
      <c r="I50" t="s">
        <v>7110</v>
      </c>
      <c r="J50">
        <v>40</v>
      </c>
      <c r="K50" t="s">
        <v>6692</v>
      </c>
      <c r="L50" t="s">
        <v>6785</v>
      </c>
    </row>
    <row r="51" spans="1:12" x14ac:dyDescent="0.2">
      <c r="A51" t="s">
        <v>6684</v>
      </c>
      <c r="B51" t="str">
        <f>_xlfn.XLOOKUP(E51,'Title Abstract Screening'!G:G,'Title Abstract Screening'!B:B,"")</f>
        <v>eye tracking</v>
      </c>
      <c r="C51" t="s">
        <v>6798</v>
      </c>
      <c r="D51" t="s">
        <v>2173</v>
      </c>
      <c r="E51" s="6" t="s">
        <v>2174</v>
      </c>
      <c r="F51">
        <v>2019</v>
      </c>
      <c r="G51" t="s">
        <v>6787</v>
      </c>
      <c r="H51" t="s">
        <v>6789</v>
      </c>
      <c r="J51">
        <v>18</v>
      </c>
      <c r="L51" t="s">
        <v>6788</v>
      </c>
    </row>
    <row r="52" spans="1:12" hidden="1" x14ac:dyDescent="0.2">
      <c r="A52" t="s">
        <v>6686</v>
      </c>
      <c r="B52" t="str">
        <f>_xlfn.XLOOKUP(E52,'Title Abstract Screening'!G:G,'Title Abstract Screening'!B:B,"")</f>
        <v>usability evaluation unclear, read fulltext</v>
      </c>
      <c r="C52" s="11" t="s">
        <v>7099</v>
      </c>
      <c r="D52" t="s">
        <v>2570</v>
      </c>
      <c r="E52" s="6" t="s">
        <v>2571</v>
      </c>
      <c r="F52">
        <v>2016</v>
      </c>
      <c r="G52" t="s">
        <v>6793</v>
      </c>
      <c r="H52" t="s">
        <v>6790</v>
      </c>
      <c r="I52" t="s">
        <v>6794</v>
      </c>
      <c r="J52" t="s">
        <v>6792</v>
      </c>
      <c r="K52" t="s">
        <v>6697</v>
      </c>
      <c r="L52" t="s">
        <v>6791</v>
      </c>
    </row>
    <row r="53" spans="1:12" x14ac:dyDescent="0.2">
      <c r="A53" t="s">
        <v>6684</v>
      </c>
      <c r="B53" t="str">
        <f>_xlfn.XLOOKUP(E53,'Title Abstract Screening'!G:G,'Title Abstract Screening'!B:B,"")</f>
        <v>no automation</v>
      </c>
      <c r="C53" t="s">
        <v>7081</v>
      </c>
      <c r="D53" t="s">
        <v>3505</v>
      </c>
      <c r="E53" s="6" t="s">
        <v>3506</v>
      </c>
      <c r="F53">
        <v>2021</v>
      </c>
    </row>
    <row r="54" spans="1:12" x14ac:dyDescent="0.2">
      <c r="A54" t="s">
        <v>6684</v>
      </c>
      <c r="B54" t="str">
        <f>_xlfn.XLOOKUP(E54,'Title Abstract Screening'!G:G,'Title Abstract Screening'!B:B,"")</f>
        <v>KPIs</v>
      </c>
      <c r="C54" t="s">
        <v>7086</v>
      </c>
      <c r="D54" t="s">
        <v>2012</v>
      </c>
      <c r="E54" s="6" t="s">
        <v>2013</v>
      </c>
      <c r="F54">
        <v>2022</v>
      </c>
    </row>
    <row r="55" spans="1:12" x14ac:dyDescent="0.2">
      <c r="A55" t="s">
        <v>6684</v>
      </c>
      <c r="B55" t="str">
        <f>_xlfn.XLOOKUP(E55,'Title Abstract Screening'!G:G,'Title Abstract Screening'!B:B,"")</f>
        <v>no automation, heuristics</v>
      </c>
      <c r="C55" t="s">
        <v>7086</v>
      </c>
      <c r="D55" t="s">
        <v>3383</v>
      </c>
      <c r="E55" s="6" t="s">
        <v>3384</v>
      </c>
      <c r="F55">
        <v>2024</v>
      </c>
    </row>
    <row r="56" spans="1:12" x14ac:dyDescent="0.2">
      <c r="A56" t="s">
        <v>6684</v>
      </c>
      <c r="B56" t="str">
        <f>_xlfn.XLOOKUP(E56,'Title Abstract Screening'!G:G,'Title Abstract Screening'!B:B,"")</f>
        <v>automation unclear, read fulltext</v>
      </c>
      <c r="C56" t="s">
        <v>6798</v>
      </c>
      <c r="D56" t="s">
        <v>2612</v>
      </c>
      <c r="E56" s="6" t="s">
        <v>2613</v>
      </c>
      <c r="F56">
        <v>2017</v>
      </c>
    </row>
    <row r="57" spans="1:12" x14ac:dyDescent="0.2">
      <c r="A57" t="s">
        <v>6684</v>
      </c>
      <c r="B57" t="str">
        <f>_xlfn.XLOOKUP(E57,'Title Abstract Screening'!G:G,'Title Abstract Screening'!B:B,"")</f>
        <v>automation unclear, read fulltext</v>
      </c>
      <c r="C57" t="s">
        <v>6795</v>
      </c>
      <c r="D57" t="s">
        <v>5817</v>
      </c>
      <c r="E57" s="6" t="s">
        <v>5818</v>
      </c>
      <c r="F57">
        <v>2011</v>
      </c>
    </row>
    <row r="58" spans="1:12" x14ac:dyDescent="0.2">
      <c r="A58" t="s">
        <v>6684</v>
      </c>
      <c r="B58" t="str">
        <f>_xlfn.XLOOKUP(E58,'Title Abstract Screening'!G:G,'Title Abstract Screening'!B:B,"")</f>
        <v>only heuristics</v>
      </c>
      <c r="C58" t="s">
        <v>7053</v>
      </c>
      <c r="D58" t="s">
        <v>6357</v>
      </c>
      <c r="E58" s="6" t="s">
        <v>6358</v>
      </c>
      <c r="F58">
        <v>2017</v>
      </c>
    </row>
    <row r="59" spans="1:12" x14ac:dyDescent="0.2">
      <c r="A59" t="s">
        <v>6684</v>
      </c>
      <c r="B59" t="str">
        <f>_xlfn.XLOOKUP(E59,'Title Abstract Screening'!G:G,'Title Abstract Screening'!B:B,"")</f>
        <v>automation unclear, read fulltext</v>
      </c>
      <c r="C59" t="s">
        <v>6796</v>
      </c>
      <c r="D59" t="s">
        <v>4130</v>
      </c>
      <c r="E59" s="6" t="s">
        <v>4131</v>
      </c>
      <c r="F59">
        <v>2019</v>
      </c>
      <c r="J59">
        <v>6</v>
      </c>
    </row>
    <row r="60" spans="1:12" x14ac:dyDescent="0.2">
      <c r="A60" t="s">
        <v>6684</v>
      </c>
      <c r="B60" t="str">
        <f>_xlfn.XLOOKUP(E60,'Title Abstract Screening'!G:G,'Title Abstract Screening'!B:B,"")</f>
        <v>error model</v>
      </c>
      <c r="C60" t="s">
        <v>7067</v>
      </c>
      <c r="D60" t="s">
        <v>1621</v>
      </c>
      <c r="E60" s="6" t="s">
        <v>1622</v>
      </c>
      <c r="F60">
        <v>2020</v>
      </c>
    </row>
    <row r="61" spans="1:12" x14ac:dyDescent="0.2">
      <c r="A61" t="s">
        <v>6684</v>
      </c>
      <c r="B61" t="str">
        <f>_xlfn.XLOOKUP(E61,'Title Abstract Screening'!G:G,'Title Abstract Screening'!B:B,"")</f>
        <v>mathematical analysis</v>
      </c>
      <c r="C61" t="s">
        <v>7077</v>
      </c>
      <c r="D61" t="s">
        <v>122</v>
      </c>
      <c r="E61" s="6" t="s">
        <v>123</v>
      </c>
      <c r="F61">
        <v>2025</v>
      </c>
    </row>
    <row r="62" spans="1:12" hidden="1" x14ac:dyDescent="0.2">
      <c r="A62" t="s">
        <v>6686</v>
      </c>
      <c r="B62" t="str">
        <f>_xlfn.XLOOKUP(E62,'Title Abstract Screening'!G:G,'Title Abstract Screening'!B:B,"")</f>
        <v>physiological factors</v>
      </c>
      <c r="C62" s="11" t="s">
        <v>7099</v>
      </c>
      <c r="D62" t="s">
        <v>428</v>
      </c>
      <c r="E62" s="6" t="s">
        <v>429</v>
      </c>
      <c r="F62">
        <v>2021</v>
      </c>
      <c r="G62" t="s">
        <v>7103</v>
      </c>
      <c r="I62" t="s">
        <v>7109</v>
      </c>
      <c r="J62" t="s">
        <v>7063</v>
      </c>
      <c r="L62" t="s">
        <v>6797</v>
      </c>
    </row>
    <row r="63" spans="1:12" x14ac:dyDescent="0.2">
      <c r="A63" t="s">
        <v>6684</v>
      </c>
      <c r="B63" t="str">
        <f>_xlfn.XLOOKUP(E63,'Title Abstract Screening'!G:G,'Title Abstract Screening'!B:B,"")</f>
        <v>usability evaluation unclear, read fulltext</v>
      </c>
      <c r="C63" t="s">
        <v>6798</v>
      </c>
      <c r="D63" t="s">
        <v>2750</v>
      </c>
      <c r="E63" s="6" t="s">
        <v>2751</v>
      </c>
      <c r="F63">
        <v>2019</v>
      </c>
    </row>
    <row r="64" spans="1:12" x14ac:dyDescent="0.2">
      <c r="A64" s="5" t="s">
        <v>6684</v>
      </c>
      <c r="B64" t="str">
        <f>_xlfn.XLOOKUP(E64,'Title Abstract Screening'!G:G,'Title Abstract Screening'!B:B,"")</f>
        <v>usability evaluation unclear, read fulltext</v>
      </c>
      <c r="C64" t="s">
        <v>6798</v>
      </c>
      <c r="D64" t="s">
        <v>1823</v>
      </c>
      <c r="E64" s="6" t="s">
        <v>1824</v>
      </c>
      <c r="F64">
        <v>2021</v>
      </c>
    </row>
    <row r="65" spans="1:12" x14ac:dyDescent="0.2">
      <c r="A65" t="s">
        <v>6684</v>
      </c>
      <c r="B65" t="str">
        <f>_xlfn.XLOOKUP(E65,'Title Abstract Screening'!G:G,'Title Abstract Screening'!B:B,"")</f>
        <v>only heuristics</v>
      </c>
      <c r="C65" t="s">
        <v>7053</v>
      </c>
      <c r="D65" t="s">
        <v>4581</v>
      </c>
      <c r="E65" s="6" t="s">
        <v>4582</v>
      </c>
      <c r="F65">
        <v>2018</v>
      </c>
    </row>
    <row r="66" spans="1:12" x14ac:dyDescent="0.2">
      <c r="A66" t="s">
        <v>6684</v>
      </c>
      <c r="B66" t="str">
        <f>_xlfn.XLOOKUP(E66,'Title Abstract Screening'!G:G,'Title Abstract Screening'!B:B,"")</f>
        <v>no automation, heuristics</v>
      </c>
      <c r="C66" t="s">
        <v>7053</v>
      </c>
      <c r="D66" t="s">
        <v>6025</v>
      </c>
      <c r="E66" s="6" t="s">
        <v>6026</v>
      </c>
      <c r="F66">
        <v>2024</v>
      </c>
    </row>
    <row r="67" spans="1:12" x14ac:dyDescent="0.2">
      <c r="A67" t="s">
        <v>6684</v>
      </c>
      <c r="B67" t="str">
        <f>_xlfn.XLOOKUP(E67,'Title Abstract Screening'!G:G,'Title Abstract Screening'!B:B,"")</f>
        <v>automation unclear, read fulltext</v>
      </c>
      <c r="C67" t="s">
        <v>7076</v>
      </c>
      <c r="D67" t="s">
        <v>527</v>
      </c>
      <c r="E67" s="6" t="s">
        <v>528</v>
      </c>
      <c r="F67">
        <v>2018</v>
      </c>
    </row>
    <row r="68" spans="1:12" x14ac:dyDescent="0.2">
      <c r="A68" t="s">
        <v>6684</v>
      </c>
      <c r="B68" t="str">
        <f>_xlfn.XLOOKUP(E68,'Title Abstract Screening'!G:G,'Title Abstract Screening'!B:B,"")</f>
        <v>automation unclear, read fulltext</v>
      </c>
      <c r="C68" t="s">
        <v>7086</v>
      </c>
      <c r="D68" t="s">
        <v>5365</v>
      </c>
      <c r="E68" s="6" t="s">
        <v>5366</v>
      </c>
      <c r="F68">
        <v>2024</v>
      </c>
    </row>
    <row r="69" spans="1:12" x14ac:dyDescent="0.2">
      <c r="A69" t="s">
        <v>6684</v>
      </c>
      <c r="B69" t="str">
        <f>_xlfn.XLOOKUP(E69,'Title Abstract Screening'!G:G,'Title Abstract Screening'!B:B,"")</f>
        <v>face tracking</v>
      </c>
      <c r="C69" t="s">
        <v>7075</v>
      </c>
      <c r="D69" t="s">
        <v>6260</v>
      </c>
      <c r="E69" s="6" t="s">
        <v>6261</v>
      </c>
      <c r="F69">
        <v>2020</v>
      </c>
    </row>
    <row r="70" spans="1:12" x14ac:dyDescent="0.2">
      <c r="A70" t="s">
        <v>6684</v>
      </c>
      <c r="B70" t="str">
        <f>_xlfn.XLOOKUP(E70,'Title Abstract Screening'!G:G,'Title Abstract Screening'!B:B,"")</f>
        <v>automation unclear, read fulltext</v>
      </c>
      <c r="C70" t="s">
        <v>7083</v>
      </c>
      <c r="D70" t="s">
        <v>4153</v>
      </c>
      <c r="E70" s="6" t="s">
        <v>4154</v>
      </c>
      <c r="F70">
        <v>2023</v>
      </c>
    </row>
    <row r="71" spans="1:12" hidden="1" x14ac:dyDescent="0.2">
      <c r="A71" t="s">
        <v>6686</v>
      </c>
      <c r="B71" t="str">
        <f>_xlfn.XLOOKUP(E71,'Title Abstract Screening'!G:G,'Title Abstract Screening'!B:B,"")</f>
        <v>usability evaluation unclear, read fulltext</v>
      </c>
      <c r="C71" t="s">
        <v>7091</v>
      </c>
      <c r="D71" t="s">
        <v>1660</v>
      </c>
      <c r="E71" s="6" t="s">
        <v>1661</v>
      </c>
      <c r="F71">
        <v>2022</v>
      </c>
      <c r="G71" t="s">
        <v>6802</v>
      </c>
      <c r="H71" t="s">
        <v>6801</v>
      </c>
      <c r="I71" t="s">
        <v>6803</v>
      </c>
      <c r="J71" t="s">
        <v>6799</v>
      </c>
      <c r="K71" t="s">
        <v>6800</v>
      </c>
      <c r="L71" t="s">
        <v>6833</v>
      </c>
    </row>
    <row r="72" spans="1:12" x14ac:dyDescent="0.2">
      <c r="A72" t="s">
        <v>6706</v>
      </c>
      <c r="B72" t="str">
        <f>_xlfn.XLOOKUP(E72,'Title Abstract Screening'!G:G,'Title Abstract Screening'!B:B,"")</f>
        <v>automation unclear, read fulltext</v>
      </c>
      <c r="C72" t="s">
        <v>7088</v>
      </c>
      <c r="D72" t="s">
        <v>4046</v>
      </c>
      <c r="E72" s="6" t="s">
        <v>4047</v>
      </c>
      <c r="F72">
        <v>2019</v>
      </c>
    </row>
    <row r="73" spans="1:12" hidden="1" x14ac:dyDescent="0.2">
      <c r="A73" t="s">
        <v>6686</v>
      </c>
      <c r="B73" t="str">
        <f>_xlfn.XLOOKUP(E73,'Title Abstract Screening'!G:G,'Title Abstract Screening'!B:B,"")</f>
        <v>physiological factors</v>
      </c>
      <c r="C73" t="s">
        <v>7092</v>
      </c>
      <c r="D73" t="s">
        <v>5044</v>
      </c>
      <c r="E73" s="6" t="s">
        <v>5045</v>
      </c>
      <c r="F73">
        <v>2024</v>
      </c>
      <c r="G73" t="s">
        <v>6806</v>
      </c>
      <c r="H73" t="s">
        <v>6804</v>
      </c>
      <c r="J73">
        <v>24</v>
      </c>
      <c r="K73" t="s">
        <v>6692</v>
      </c>
      <c r="L73" t="s">
        <v>6805</v>
      </c>
    </row>
    <row r="74" spans="1:12" hidden="1" x14ac:dyDescent="0.2">
      <c r="A74" t="s">
        <v>6686</v>
      </c>
      <c r="B74" t="str">
        <f>_xlfn.XLOOKUP(E74,'Title Abstract Screening'!G:G,'Title Abstract Screening'!B:B,"")</f>
        <v>physiological factors</v>
      </c>
      <c r="C74" t="s">
        <v>7093</v>
      </c>
      <c r="D74" t="s">
        <v>363</v>
      </c>
      <c r="E74" s="6" t="s">
        <v>364</v>
      </c>
      <c r="F74">
        <v>2023</v>
      </c>
      <c r="G74" t="s">
        <v>6809</v>
      </c>
      <c r="H74" t="s">
        <v>6808</v>
      </c>
      <c r="I74" t="s">
        <v>6810</v>
      </c>
      <c r="J74">
        <v>11</v>
      </c>
      <c r="K74" t="s">
        <v>6692</v>
      </c>
      <c r="L74" t="s">
        <v>6807</v>
      </c>
    </row>
    <row r="75" spans="1:12" x14ac:dyDescent="0.2">
      <c r="A75" t="s">
        <v>6684</v>
      </c>
      <c r="B75" t="str">
        <f>_xlfn.XLOOKUP(E75,'Title Abstract Screening'!G:G,'Title Abstract Screening'!B:B,"")</f>
        <v>physiological factors</v>
      </c>
      <c r="C75" t="s">
        <v>6798</v>
      </c>
      <c r="D75" t="s">
        <v>3276</v>
      </c>
      <c r="E75" s="6" t="s">
        <v>3277</v>
      </c>
      <c r="F75">
        <v>2024</v>
      </c>
    </row>
    <row r="76" spans="1:12" x14ac:dyDescent="0.2">
      <c r="A76" s="9" t="s">
        <v>6684</v>
      </c>
      <c r="B76" s="9" t="str">
        <f>_xlfn.XLOOKUP(E76,'Title Abstract Screening'!G:G,'Title Abstract Screening'!B:B,"")</f>
        <v>usability evaluation unclear, read fulltext</v>
      </c>
      <c r="C76" s="9" t="s">
        <v>7084</v>
      </c>
      <c r="D76" s="9" t="s">
        <v>6574</v>
      </c>
      <c r="E76" s="10" t="s">
        <v>6575</v>
      </c>
      <c r="F76" s="9">
        <v>2023</v>
      </c>
    </row>
    <row r="77" spans="1:12" hidden="1" x14ac:dyDescent="0.2">
      <c r="A77" t="s">
        <v>6686</v>
      </c>
      <c r="B77" t="str">
        <f>_xlfn.XLOOKUP(E77,'Title Abstract Screening'!G:G,'Title Abstract Screening'!B:B,"")</f>
        <v>usability evaluation unclear, read fulltext</v>
      </c>
      <c r="C77" t="s">
        <v>6813</v>
      </c>
      <c r="D77" t="s">
        <v>3997</v>
      </c>
      <c r="E77" s="6" t="s">
        <v>3998</v>
      </c>
      <c r="F77">
        <v>2023</v>
      </c>
      <c r="G77" t="s">
        <v>6839</v>
      </c>
      <c r="H77" t="s">
        <v>6812</v>
      </c>
      <c r="I77" t="s">
        <v>6794</v>
      </c>
      <c r="K77" t="s">
        <v>6811</v>
      </c>
    </row>
    <row r="78" spans="1:12" x14ac:dyDescent="0.2">
      <c r="A78" t="s">
        <v>6684</v>
      </c>
      <c r="B78" t="str">
        <f>_xlfn.XLOOKUP(E78,'Title Abstract Screening'!G:G,'Title Abstract Screening'!B:B,"")</f>
        <v>usability evaluation unclear, read fulltext</v>
      </c>
      <c r="C78" t="s">
        <v>7067</v>
      </c>
      <c r="D78" t="s">
        <v>1232</v>
      </c>
      <c r="E78" s="6" t="s">
        <v>1233</v>
      </c>
      <c r="F78" s="9">
        <v>2023</v>
      </c>
      <c r="G78" s="9" t="s">
        <v>7102</v>
      </c>
      <c r="H78" t="s">
        <v>7106</v>
      </c>
      <c r="J78">
        <v>18</v>
      </c>
      <c r="K78" t="s">
        <v>6815</v>
      </c>
      <c r="L78" t="s">
        <v>6814</v>
      </c>
    </row>
    <row r="79" spans="1:12" x14ac:dyDescent="0.2">
      <c r="A79" t="s">
        <v>6684</v>
      </c>
      <c r="B79" t="str">
        <f>_xlfn.XLOOKUP(E79,'Title Abstract Screening'!G:G,'Title Abstract Screening'!B:B,"")</f>
        <v>usability evaluation unclear, read fulltext</v>
      </c>
      <c r="C79" t="s">
        <v>7078</v>
      </c>
      <c r="D79" t="s">
        <v>674</v>
      </c>
      <c r="E79" s="6" t="s">
        <v>675</v>
      </c>
      <c r="F79">
        <v>2024</v>
      </c>
    </row>
    <row r="80" spans="1:12" hidden="1" x14ac:dyDescent="0.2">
      <c r="A80" t="s">
        <v>6686</v>
      </c>
      <c r="B80" t="str">
        <f>_xlfn.XLOOKUP(E80,'Title Abstract Screening'!G:G,'Title Abstract Screening'!B:B,"")</f>
        <v>automation unclear, read fulltext</v>
      </c>
      <c r="C80" t="s">
        <v>7095</v>
      </c>
      <c r="D80" t="s">
        <v>5558</v>
      </c>
      <c r="E80" s="6" t="s">
        <v>5559</v>
      </c>
      <c r="F80">
        <v>2024</v>
      </c>
      <c r="G80" t="s">
        <v>7101</v>
      </c>
      <c r="K80" t="s">
        <v>6816</v>
      </c>
      <c r="L80" t="s">
        <v>6817</v>
      </c>
    </row>
    <row r="81" spans="1:12" x14ac:dyDescent="0.2">
      <c r="A81" s="8" t="s">
        <v>6684</v>
      </c>
      <c r="B81" t="str">
        <f>_xlfn.XLOOKUP(E81,'Title Abstract Screening'!G:G,'Title Abstract Screening'!B:B,"")</f>
        <v>automation unclear, read fulltext</v>
      </c>
      <c r="C81" t="s">
        <v>7067</v>
      </c>
      <c r="D81" t="s">
        <v>4892</v>
      </c>
      <c r="E81" s="6" t="s">
        <v>4893</v>
      </c>
      <c r="F81">
        <v>2023</v>
      </c>
      <c r="H81" t="s">
        <v>6819</v>
      </c>
      <c r="J81" t="s">
        <v>6818</v>
      </c>
      <c r="K81" t="s">
        <v>6692</v>
      </c>
    </row>
    <row r="82" spans="1:12" x14ac:dyDescent="0.2">
      <c r="A82" t="s">
        <v>6684</v>
      </c>
      <c r="B82" t="str">
        <f>_xlfn.XLOOKUP(E82,'Title Abstract Screening'!G:G,'Title Abstract Screening'!B:B,"")</f>
        <v>transcription</v>
      </c>
      <c r="C82" t="s">
        <v>7053</v>
      </c>
      <c r="D82" t="s">
        <v>3528</v>
      </c>
      <c r="E82" s="6" t="s">
        <v>3529</v>
      </c>
      <c r="F82">
        <v>2021</v>
      </c>
    </row>
    <row r="83" spans="1:12" x14ac:dyDescent="0.2">
      <c r="A83" t="s">
        <v>6684</v>
      </c>
      <c r="B83" t="str">
        <f>_xlfn.XLOOKUP(E83,'Title Abstract Screening'!G:G,'Title Abstract Screening'!B:B,"")</f>
        <v>usability evaluation unclear, read fulltext</v>
      </c>
      <c r="C83" t="s">
        <v>7068</v>
      </c>
      <c r="D83" t="s">
        <v>916</v>
      </c>
      <c r="E83" s="6" t="s">
        <v>917</v>
      </c>
      <c r="F83">
        <v>2023</v>
      </c>
      <c r="K83" t="s">
        <v>6697</v>
      </c>
    </row>
    <row r="84" spans="1:12" x14ac:dyDescent="0.2">
      <c r="A84" t="s">
        <v>6684</v>
      </c>
      <c r="B84" t="str">
        <f>_xlfn.XLOOKUP(E84,'Title Abstract Screening'!G:G,'Title Abstract Screening'!B:B,"")</f>
        <v>no automation, heuristics</v>
      </c>
      <c r="C84" t="s">
        <v>6820</v>
      </c>
      <c r="D84" t="s">
        <v>3245</v>
      </c>
      <c r="E84" s="6" t="s">
        <v>3246</v>
      </c>
      <c r="F84">
        <v>2024</v>
      </c>
    </row>
    <row r="85" spans="1:12" hidden="1" x14ac:dyDescent="0.2">
      <c r="A85" t="s">
        <v>6686</v>
      </c>
      <c r="B85" t="str">
        <f>_xlfn.XLOOKUP(E85,'Title Abstract Screening'!G:G,'Title Abstract Screening'!B:B,"")</f>
        <v>automation unclear, read fulltext</v>
      </c>
      <c r="C85" t="s">
        <v>6824</v>
      </c>
      <c r="D85" t="s">
        <v>5449</v>
      </c>
      <c r="E85" s="6" t="s">
        <v>5450</v>
      </c>
      <c r="F85">
        <v>2022</v>
      </c>
      <c r="G85" t="s">
        <v>6821</v>
      </c>
      <c r="H85" t="s">
        <v>6822</v>
      </c>
      <c r="K85" t="s">
        <v>6697</v>
      </c>
      <c r="L85" t="s">
        <v>6823</v>
      </c>
    </row>
    <row r="86" spans="1:12" x14ac:dyDescent="0.2">
      <c r="A86" t="s">
        <v>6684</v>
      </c>
      <c r="B86" t="str">
        <f>_xlfn.XLOOKUP(E86,'Title Abstract Screening'!G:G,'Title Abstract Screening'!B:B,"")</f>
        <v>no automation, heuristics</v>
      </c>
      <c r="C86" t="s">
        <v>7079</v>
      </c>
      <c r="D86" t="s">
        <v>3483</v>
      </c>
      <c r="E86" s="6" t="s">
        <v>3484</v>
      </c>
      <c r="F86">
        <v>2022</v>
      </c>
    </row>
    <row r="87" spans="1:12" x14ac:dyDescent="0.2">
      <c r="A87" t="s">
        <v>6684</v>
      </c>
      <c r="B87" t="str">
        <f>_xlfn.XLOOKUP(E87,'Title Abstract Screening'!G:G,'Title Abstract Screening'!B:B,"")</f>
        <v>automation unclear, read fulltext</v>
      </c>
      <c r="C87" t="s">
        <v>7035</v>
      </c>
      <c r="D87" t="s">
        <v>5163</v>
      </c>
      <c r="E87" s="6" t="s">
        <v>5164</v>
      </c>
      <c r="F87">
        <v>2021</v>
      </c>
    </row>
    <row r="88" spans="1:12" hidden="1" x14ac:dyDescent="0.2">
      <c r="A88" t="s">
        <v>6686</v>
      </c>
      <c r="B88" t="str">
        <f>_xlfn.XLOOKUP(E88,'Title Abstract Screening'!G:G,'Title Abstract Screening'!B:B,"")</f>
        <v>usability evaluation unclear, read fulltext</v>
      </c>
      <c r="C88" t="s">
        <v>6826</v>
      </c>
      <c r="D88" t="s">
        <v>2667</v>
      </c>
      <c r="E88" s="6" t="s">
        <v>2668</v>
      </c>
      <c r="F88">
        <v>2019</v>
      </c>
      <c r="G88" t="s">
        <v>6827</v>
      </c>
      <c r="H88" t="s">
        <v>6828</v>
      </c>
      <c r="L88" t="s">
        <v>6825</v>
      </c>
    </row>
    <row r="89" spans="1:12" hidden="1" x14ac:dyDescent="0.2">
      <c r="A89" t="s">
        <v>6686</v>
      </c>
      <c r="B89" t="str">
        <f>_xlfn.XLOOKUP(E89,'Title Abstract Screening'!G:G,'Title Abstract Screening'!B:B,"")</f>
        <v>usability evaluation unclear, read fulltext</v>
      </c>
      <c r="C89" t="s">
        <v>6831</v>
      </c>
      <c r="D89" t="s">
        <v>6297</v>
      </c>
      <c r="E89" s="6" t="s">
        <v>6298</v>
      </c>
      <c r="F89">
        <v>2024</v>
      </c>
      <c r="G89" t="s">
        <v>6832</v>
      </c>
      <c r="H89" t="s">
        <v>6829</v>
      </c>
      <c r="J89">
        <v>17</v>
      </c>
      <c r="K89" t="s">
        <v>6692</v>
      </c>
      <c r="L89" t="s">
        <v>6830</v>
      </c>
    </row>
    <row r="90" spans="1:12" hidden="1" x14ac:dyDescent="0.2">
      <c r="A90" t="s">
        <v>6686</v>
      </c>
      <c r="B90" t="str">
        <f>_xlfn.XLOOKUP(E90,'Title Abstract Screening'!G:G,'Title Abstract Screening'!B:B,"")</f>
        <v>sentiment</v>
      </c>
      <c r="C90" t="s">
        <v>7096</v>
      </c>
      <c r="D90" t="s">
        <v>2286</v>
      </c>
      <c r="E90" s="6" t="s">
        <v>2287</v>
      </c>
      <c r="F90">
        <v>2018</v>
      </c>
      <c r="G90" t="s">
        <v>6835</v>
      </c>
      <c r="H90" t="s">
        <v>6836</v>
      </c>
      <c r="L90" t="s">
        <v>6834</v>
      </c>
    </row>
    <row r="91" spans="1:12" hidden="1" x14ac:dyDescent="0.2">
      <c r="A91" t="s">
        <v>6686</v>
      </c>
      <c r="B91" t="str">
        <f>_xlfn.XLOOKUP(E91,'Title Abstract Screening'!G:G,'Title Abstract Screening'!B:B,"")</f>
        <v>agent based</v>
      </c>
      <c r="C91" t="s">
        <v>6837</v>
      </c>
      <c r="D91" t="s">
        <v>5252</v>
      </c>
      <c r="E91" s="6" t="s">
        <v>5253</v>
      </c>
      <c r="F91">
        <v>2020</v>
      </c>
      <c r="G91" t="s">
        <v>7100</v>
      </c>
      <c r="J91">
        <v>0</v>
      </c>
      <c r="K91" t="s">
        <v>6714</v>
      </c>
    </row>
    <row r="92" spans="1:12" x14ac:dyDescent="0.2">
      <c r="A92" t="s">
        <v>6684</v>
      </c>
      <c r="B92" t="str">
        <f>_xlfn.XLOOKUP(E92,'Title Abstract Screening'!G:G,'Title Abstract Screening'!B:B,"")</f>
        <v>automation unclear, read fulltext</v>
      </c>
      <c r="C92" t="s">
        <v>7082</v>
      </c>
      <c r="D92" t="s">
        <v>4654</v>
      </c>
      <c r="E92" s="6" t="s">
        <v>4655</v>
      </c>
      <c r="F92">
        <v>2020</v>
      </c>
    </row>
    <row r="93" spans="1:12" x14ac:dyDescent="0.2">
      <c r="A93" t="s">
        <v>6684</v>
      </c>
      <c r="B93" t="str">
        <f>_xlfn.XLOOKUP(E93,'Title Abstract Screening'!G:G,'Title Abstract Screening'!B:B,"")</f>
        <v>automation unclear, read fulltext</v>
      </c>
      <c r="C93" t="s">
        <v>7070</v>
      </c>
      <c r="D93" t="s">
        <v>5610</v>
      </c>
      <c r="E93" s="6" t="s">
        <v>5611</v>
      </c>
      <c r="F93">
        <v>2020</v>
      </c>
    </row>
    <row r="94" spans="1:12" x14ac:dyDescent="0.2">
      <c r="A94" t="s">
        <v>6684</v>
      </c>
      <c r="B94" t="str">
        <f>_xlfn.XLOOKUP(E94,'Title Abstract Screening'!G:G,'Title Abstract Screening'!B:B,"")</f>
        <v>usability evaluation unclear, read fulltext</v>
      </c>
      <c r="C94" t="s">
        <v>6777</v>
      </c>
      <c r="D94" t="s">
        <v>793</v>
      </c>
      <c r="E94" s="6" t="s">
        <v>794</v>
      </c>
      <c r="F94">
        <v>2024</v>
      </c>
      <c r="G94" t="s">
        <v>6839</v>
      </c>
      <c r="H94" t="s">
        <v>6838</v>
      </c>
      <c r="K94" t="s">
        <v>6697</v>
      </c>
    </row>
    <row r="95" spans="1:12" hidden="1" x14ac:dyDescent="0.2">
      <c r="A95" t="s">
        <v>6686</v>
      </c>
      <c r="B95" t="str">
        <f>_xlfn.XLOOKUP(E95,'Title Abstract Screening'!G:G,'Title Abstract Screening'!B:B,"")</f>
        <v>usability evaluation unclear, read fulltext</v>
      </c>
      <c r="C95" t="s">
        <v>6843</v>
      </c>
      <c r="D95" t="s">
        <v>4038</v>
      </c>
      <c r="E95" s="6" t="s">
        <v>4039</v>
      </c>
      <c r="F95">
        <v>2023</v>
      </c>
      <c r="G95" t="s">
        <v>6842</v>
      </c>
      <c r="H95" t="s">
        <v>6841</v>
      </c>
      <c r="I95" t="s">
        <v>7108</v>
      </c>
      <c r="J95">
        <v>12</v>
      </c>
      <c r="K95" t="s">
        <v>6697</v>
      </c>
      <c r="L95" t="s">
        <v>6840</v>
      </c>
    </row>
    <row r="96" spans="1:12" x14ac:dyDescent="0.2">
      <c r="A96" t="s">
        <v>6684</v>
      </c>
      <c r="B96" t="str">
        <f>_xlfn.XLOOKUP(E96,'Title Abstract Screening'!G:G,'Title Abstract Screening'!B:B,"")</f>
        <v>no automation, heuristics</v>
      </c>
      <c r="C96" t="s">
        <v>7071</v>
      </c>
      <c r="D96" t="s">
        <v>316</v>
      </c>
      <c r="E96" s="6" t="s">
        <v>317</v>
      </c>
      <c r="F96">
        <v>2024</v>
      </c>
    </row>
    <row r="97" spans="1:12" x14ac:dyDescent="0.2">
      <c r="A97" t="s">
        <v>6684</v>
      </c>
      <c r="B97" t="str">
        <f>_xlfn.XLOOKUP(E97,'Title Abstract Screening'!G:G,'Title Abstract Screening'!B:B,"")</f>
        <v>only heuristics</v>
      </c>
      <c r="C97" t="s">
        <v>7086</v>
      </c>
      <c r="D97" t="s">
        <v>3551</v>
      </c>
      <c r="E97" s="6" t="s">
        <v>3552</v>
      </c>
      <c r="F97">
        <v>2018</v>
      </c>
    </row>
    <row r="98" spans="1:12" x14ac:dyDescent="0.2">
      <c r="A98" t="s">
        <v>6684</v>
      </c>
      <c r="B98" t="str">
        <f>_xlfn.XLOOKUP(E98,'Title Abstract Screening'!G:G,'Title Abstract Screening'!B:B,"")</f>
        <v>average movement speed</v>
      </c>
      <c r="C98" t="s">
        <v>7035</v>
      </c>
      <c r="D98" t="s">
        <v>5512</v>
      </c>
      <c r="E98" s="6" t="s">
        <v>5513</v>
      </c>
      <c r="F98">
        <v>2024</v>
      </c>
      <c r="J98">
        <v>13</v>
      </c>
      <c r="K98" t="s">
        <v>6692</v>
      </c>
    </row>
    <row r="99" spans="1:12" x14ac:dyDescent="0.2">
      <c r="A99" t="s">
        <v>6684</v>
      </c>
      <c r="B99" t="str">
        <f>_xlfn.XLOOKUP(E99,'Title Abstract Screening'!G:G,'Title Abstract Screening'!B:B,"")</f>
        <v>automation unclear, read fulltext</v>
      </c>
      <c r="C99" t="s">
        <v>7035</v>
      </c>
      <c r="D99" t="s">
        <v>326</v>
      </c>
      <c r="E99" s="6" t="s">
        <v>327</v>
      </c>
      <c r="F99">
        <v>2022</v>
      </c>
    </row>
    <row r="100" spans="1:12" x14ac:dyDescent="0.2">
      <c r="A100" t="s">
        <v>6684</v>
      </c>
      <c r="B100" t="str">
        <f>_xlfn.XLOOKUP(E100,'Title Abstract Screening'!G:G,'Title Abstract Screening'!B:B,"")</f>
        <v>only heuristics</v>
      </c>
      <c r="C100" t="s">
        <v>7073</v>
      </c>
      <c r="D100" t="s">
        <v>508</v>
      </c>
      <c r="E100" s="6" t="s">
        <v>509</v>
      </c>
      <c r="F100">
        <v>2019</v>
      </c>
    </row>
    <row r="101" spans="1:12" x14ac:dyDescent="0.2">
      <c r="A101" t="s">
        <v>6684</v>
      </c>
      <c r="B101" t="str">
        <f>_xlfn.XLOOKUP(E101,'Title Abstract Screening'!G:G,'Title Abstract Screening'!B:B,"")</f>
        <v>hand distance as effectiveness</v>
      </c>
      <c r="C101" t="s">
        <v>7067</v>
      </c>
      <c r="D101" t="s">
        <v>606</v>
      </c>
      <c r="E101" s="6" t="s">
        <v>607</v>
      </c>
      <c r="F101">
        <v>2010</v>
      </c>
      <c r="H101" t="s">
        <v>7107</v>
      </c>
      <c r="J101">
        <v>24</v>
      </c>
      <c r="K101" t="s">
        <v>6692</v>
      </c>
    </row>
    <row r="102" spans="1:12" x14ac:dyDescent="0.2">
      <c r="A102" t="s">
        <v>6684</v>
      </c>
      <c r="B102" t="str">
        <f>_xlfn.XLOOKUP(E102,'Title Abstract Screening'!G:G,'Title Abstract Screening'!B:B,"")</f>
        <v>automation unclear, read fulltext</v>
      </c>
      <c r="C102" t="s">
        <v>7086</v>
      </c>
      <c r="D102" t="s">
        <v>457</v>
      </c>
      <c r="E102" s="6" t="s">
        <v>458</v>
      </c>
      <c r="F102">
        <v>2021</v>
      </c>
    </row>
    <row r="103" spans="1:12" x14ac:dyDescent="0.2">
      <c r="A103" t="s">
        <v>6684</v>
      </c>
      <c r="B103" t="str">
        <f>_xlfn.XLOOKUP(E103,'Title Abstract Screening'!G:G,'Title Abstract Screening'!B:B,"")</f>
        <v>no automation, heuristics</v>
      </c>
      <c r="C103" t="s">
        <v>7086</v>
      </c>
      <c r="D103" t="s">
        <v>5677</v>
      </c>
      <c r="E103" s="6" t="s">
        <v>5678</v>
      </c>
      <c r="F103">
        <v>2024</v>
      </c>
    </row>
    <row r="104" spans="1:12" x14ac:dyDescent="0.2">
      <c r="A104" t="s">
        <v>6684</v>
      </c>
      <c r="B104" t="str">
        <f>_xlfn.XLOOKUP(E104,'Title Abstract Screening'!G:G,'Title Abstract Screening'!B:B,"")</f>
        <v>head movement</v>
      </c>
      <c r="C104" t="s">
        <v>7067</v>
      </c>
      <c r="D104" t="s">
        <v>6283</v>
      </c>
      <c r="E104" s="6" t="s">
        <v>6284</v>
      </c>
      <c r="F104">
        <v>2007</v>
      </c>
    </row>
    <row r="105" spans="1:12" x14ac:dyDescent="0.2">
      <c r="A105" t="s">
        <v>6684</v>
      </c>
      <c r="B105" t="str">
        <f>_xlfn.XLOOKUP(E105,'Title Abstract Screening'!G:G,'Title Abstract Screening'!B:B,"")</f>
        <v>only heuristics</v>
      </c>
      <c r="C105" t="s">
        <v>7086</v>
      </c>
      <c r="D105" t="s">
        <v>4516</v>
      </c>
      <c r="E105" s="6" t="s">
        <v>4517</v>
      </c>
      <c r="F105">
        <v>2019</v>
      </c>
    </row>
    <row r="106" spans="1:12" x14ac:dyDescent="0.2">
      <c r="A106" t="s">
        <v>6684</v>
      </c>
      <c r="B106" t="str">
        <f>_xlfn.XLOOKUP(E106,'Title Abstract Screening'!G:G,'Title Abstract Screening'!B:B,"")</f>
        <v>automation unclear, read fulltext</v>
      </c>
      <c r="C106" t="s">
        <v>7076</v>
      </c>
      <c r="D106" t="s">
        <v>5766</v>
      </c>
      <c r="E106" s="6" t="s">
        <v>5767</v>
      </c>
      <c r="F106">
        <v>2017</v>
      </c>
    </row>
    <row r="107" spans="1:12" hidden="1" x14ac:dyDescent="0.2">
      <c r="A107" t="s">
        <v>6686</v>
      </c>
      <c r="B107" t="str">
        <f>_xlfn.XLOOKUP(E107,'Title Abstract Screening'!G:G,'Title Abstract Screening'!B:B,"")</f>
        <v>objective features</v>
      </c>
      <c r="C107" t="s">
        <v>6848</v>
      </c>
      <c r="D107" t="s">
        <v>1539</v>
      </c>
      <c r="E107" s="6" t="s">
        <v>1540</v>
      </c>
      <c r="F107">
        <v>2022</v>
      </c>
      <c r="G107" t="s">
        <v>6845</v>
      </c>
      <c r="H107" t="s">
        <v>6847</v>
      </c>
      <c r="I107" t="s">
        <v>6844</v>
      </c>
      <c r="J107">
        <v>14</v>
      </c>
      <c r="K107" t="s">
        <v>6692</v>
      </c>
      <c r="L107" t="s">
        <v>6846</v>
      </c>
    </row>
    <row r="108" spans="1:12" x14ac:dyDescent="0.2">
      <c r="A108" t="s">
        <v>6684</v>
      </c>
      <c r="B108" t="str">
        <f>_xlfn.XLOOKUP(E108,'Title Abstract Screening'!G:G,'Title Abstract Screening'!B:B,"")</f>
        <v>automation unclear, read fulltext</v>
      </c>
      <c r="C108" t="s">
        <v>7074</v>
      </c>
      <c r="D108" t="s">
        <v>297</v>
      </c>
      <c r="E108" s="6" t="s">
        <v>298</v>
      </c>
      <c r="F108">
        <v>2023</v>
      </c>
    </row>
    <row r="109" spans="1:12" x14ac:dyDescent="0.2">
      <c r="A109" t="s">
        <v>6684</v>
      </c>
      <c r="B109" t="str">
        <f>_xlfn.XLOOKUP(E109,'Title Abstract Screening'!G:G,'Title Abstract Screening'!B:B,"")</f>
        <v>automation unclear, read fulltext</v>
      </c>
      <c r="C109" t="s">
        <v>7035</v>
      </c>
      <c r="D109" t="s">
        <v>3879</v>
      </c>
      <c r="E109" s="6" t="s">
        <v>3880</v>
      </c>
      <c r="F109">
        <v>2019</v>
      </c>
    </row>
    <row r="110" spans="1:12" hidden="1" x14ac:dyDescent="0.2">
      <c r="A110" t="s">
        <v>6686</v>
      </c>
      <c r="B110" t="str">
        <f>_xlfn.XLOOKUP(E110,'Title Abstract Screening'!G:G,'Title Abstract Screening'!B:B,"")</f>
        <v>Movement</v>
      </c>
      <c r="C110" s="11" t="s">
        <v>7099</v>
      </c>
      <c r="D110" t="s">
        <v>5593</v>
      </c>
      <c r="E110" s="6" t="s">
        <v>5594</v>
      </c>
      <c r="F110">
        <v>2022</v>
      </c>
      <c r="G110" t="s">
        <v>6852</v>
      </c>
      <c r="H110" t="s">
        <v>6851</v>
      </c>
      <c r="I110" t="s">
        <v>6850</v>
      </c>
      <c r="J110">
        <v>4</v>
      </c>
      <c r="K110" t="s">
        <v>6692</v>
      </c>
      <c r="L110" t="s">
        <v>6849</v>
      </c>
    </row>
    <row r="111" spans="1:12" x14ac:dyDescent="0.2">
      <c r="A111" t="s">
        <v>6684</v>
      </c>
      <c r="B111" t="str">
        <f>_xlfn.XLOOKUP(E111,'Title Abstract Screening'!G:G,'Title Abstract Screening'!B:B,"")</f>
        <v>automation unclear, read fulltext</v>
      </c>
      <c r="C111" t="s">
        <v>6798</v>
      </c>
      <c r="D111" t="s">
        <v>5092</v>
      </c>
      <c r="E111" s="6" t="s">
        <v>5093</v>
      </c>
      <c r="F111">
        <v>1999</v>
      </c>
    </row>
    <row r="112" spans="1:12" x14ac:dyDescent="0.2">
      <c r="A112" t="s">
        <v>6684</v>
      </c>
      <c r="B112" t="str">
        <f>_xlfn.XLOOKUP(E112,'Title Abstract Screening'!G:G,'Title Abstract Screening'!B:B,"")</f>
        <v>eye tracking</v>
      </c>
      <c r="C112" t="s">
        <v>7080</v>
      </c>
      <c r="D112" t="s">
        <v>1418</v>
      </c>
      <c r="E112" s="6" t="s">
        <v>1419</v>
      </c>
      <c r="F112">
        <v>2024</v>
      </c>
      <c r="L112" t="s">
        <v>6853</v>
      </c>
    </row>
    <row r="113" spans="1:12" x14ac:dyDescent="0.2">
      <c r="A113" t="s">
        <v>6684</v>
      </c>
      <c r="B113" t="str">
        <f>_xlfn.XLOOKUP(E113,'Title Abstract Screening'!G:G,'Title Abstract Screening'!B:B,"")</f>
        <v>no automation, heuristics</v>
      </c>
      <c r="C113" t="s">
        <v>7086</v>
      </c>
      <c r="D113" t="s">
        <v>4946</v>
      </c>
      <c r="E113" s="6" t="s">
        <v>4989</v>
      </c>
      <c r="F113">
        <v>2022</v>
      </c>
    </row>
    <row r="114" spans="1:12" hidden="1" x14ac:dyDescent="0.2">
      <c r="A114" t="s">
        <v>6686</v>
      </c>
      <c r="B114" t="str">
        <f>_xlfn.XLOOKUP(E114,'Title Abstract Screening'!G:G,'Title Abstract Screening'!B:B,"")</f>
        <v>automation unclear, read fulltext</v>
      </c>
      <c r="C114" t="s">
        <v>6856</v>
      </c>
      <c r="D114" t="s">
        <v>5032</v>
      </c>
      <c r="E114" s="6" t="s">
        <v>5033</v>
      </c>
      <c r="F114">
        <v>2008</v>
      </c>
      <c r="G114" t="s">
        <v>6855</v>
      </c>
      <c r="K114" t="s">
        <v>6854</v>
      </c>
      <c r="L114" t="s">
        <v>6857</v>
      </c>
    </row>
    <row r="115" spans="1:12" x14ac:dyDescent="0.2">
      <c r="A115" t="s">
        <v>6684</v>
      </c>
      <c r="B115" t="str">
        <f>_xlfn.XLOOKUP(E115,'Title Abstract Screening'!G:G,'Title Abstract Screening'!B:B,"")</f>
        <v>only heuristics</v>
      </c>
      <c r="C115" t="s">
        <v>7086</v>
      </c>
      <c r="D115" t="s">
        <v>3718</v>
      </c>
      <c r="E115" s="6" t="s">
        <v>3719</v>
      </c>
      <c r="F115">
        <v>2015</v>
      </c>
    </row>
    <row r="116" spans="1:12" x14ac:dyDescent="0.2">
      <c r="A116" t="s">
        <v>6684</v>
      </c>
      <c r="B116" t="str">
        <f>_xlfn.XLOOKUP(E116,'Title Abstract Screening'!G:G,'Title Abstract Screening'!B:B,"")</f>
        <v>only heuristics</v>
      </c>
      <c r="C116" t="s">
        <v>7071</v>
      </c>
      <c r="D116" t="s">
        <v>5633</v>
      </c>
      <c r="E116" s="6" t="s">
        <v>5634</v>
      </c>
      <c r="F116">
        <v>2018</v>
      </c>
    </row>
    <row r="117" spans="1:12" hidden="1" x14ac:dyDescent="0.2">
      <c r="A117" t="s">
        <v>6686</v>
      </c>
      <c r="B117" t="str">
        <f>_xlfn.XLOOKUP(E117,'Title Abstract Screening'!G:G,'Title Abstract Screening'!B:B,"")</f>
        <v>usability evaluation unclear, read fulltext</v>
      </c>
      <c r="C117" t="s">
        <v>7097</v>
      </c>
      <c r="D117" t="s">
        <v>4084</v>
      </c>
      <c r="E117" s="6" t="s">
        <v>4085</v>
      </c>
      <c r="F117">
        <v>2019</v>
      </c>
      <c r="G117" t="s">
        <v>6860</v>
      </c>
      <c r="H117" t="s">
        <v>6861</v>
      </c>
      <c r="I117" t="s">
        <v>6859</v>
      </c>
      <c r="J117">
        <v>25</v>
      </c>
      <c r="K117" t="s">
        <v>6692</v>
      </c>
      <c r="L117" t="s">
        <v>6858</v>
      </c>
    </row>
    <row r="118" spans="1:12" hidden="1" x14ac:dyDescent="0.2">
      <c r="A118" t="s">
        <v>6686</v>
      </c>
      <c r="B118" t="str">
        <f>_xlfn.XLOOKUP(E118,'Title Abstract Screening'!G:G,'Title Abstract Screening'!B:B,"")</f>
        <v>usability evaluation unclear, read fulltext</v>
      </c>
      <c r="C118" s="11" t="s">
        <v>7099</v>
      </c>
      <c r="D118" t="s">
        <v>650</v>
      </c>
      <c r="E118" s="6" t="s">
        <v>651</v>
      </c>
      <c r="F118">
        <v>2024</v>
      </c>
      <c r="G118" t="s">
        <v>6862</v>
      </c>
      <c r="H118" t="s">
        <v>6863</v>
      </c>
      <c r="J118">
        <v>6</v>
      </c>
      <c r="K118" t="s">
        <v>6692</v>
      </c>
      <c r="L118" t="s">
        <v>6732</v>
      </c>
    </row>
    <row r="119" spans="1:12" hidden="1" x14ac:dyDescent="0.2">
      <c r="A119" t="s">
        <v>6686</v>
      </c>
      <c r="B119" t="str">
        <f>_xlfn.XLOOKUP(E119,'Title Abstract Screening'!G:G,'Title Abstract Screening'!B:B,"")</f>
        <v>eye tracking</v>
      </c>
      <c r="C119" t="s">
        <v>7098</v>
      </c>
      <c r="D119" t="s">
        <v>927</v>
      </c>
      <c r="E119" s="6" t="s">
        <v>928</v>
      </c>
      <c r="F119">
        <v>2023</v>
      </c>
      <c r="G119" t="s">
        <v>6864</v>
      </c>
      <c r="H119" t="s">
        <v>6866</v>
      </c>
      <c r="J119">
        <v>10</v>
      </c>
      <c r="L119" t="s">
        <v>6865</v>
      </c>
    </row>
    <row r="120" spans="1:12" x14ac:dyDescent="0.2">
      <c r="A120" t="s">
        <v>6684</v>
      </c>
      <c r="B120" t="str">
        <f>_xlfn.XLOOKUP(E120,'Title Abstract Screening'!G:G,'Title Abstract Screening'!B:B,"")</f>
        <v>automation unclear, read fulltext</v>
      </c>
      <c r="C120" t="s">
        <v>7085</v>
      </c>
      <c r="D120" t="s">
        <v>3438</v>
      </c>
      <c r="E120" s="6" t="s">
        <v>4555</v>
      </c>
      <c r="F120">
        <v>2019</v>
      </c>
      <c r="J120">
        <v>85</v>
      </c>
      <c r="K120" t="s">
        <v>6692</v>
      </c>
    </row>
    <row r="121" spans="1:12" x14ac:dyDescent="0.2">
      <c r="A121" t="s">
        <v>6684</v>
      </c>
      <c r="B121" t="str">
        <f>_xlfn.XLOOKUP(E121,'Title Abstract Screening'!G:G,'Title Abstract Screening'!B:B,"")</f>
        <v>eye tracking</v>
      </c>
      <c r="C121" t="s">
        <v>7058</v>
      </c>
      <c r="D121" t="s">
        <v>2130</v>
      </c>
      <c r="E121" s="6" t="s">
        <v>2131</v>
      </c>
      <c r="F121">
        <v>2020</v>
      </c>
    </row>
    <row r="122" spans="1:12" hidden="1" x14ac:dyDescent="0.2">
      <c r="A122" t="s">
        <v>6686</v>
      </c>
      <c r="B122" t="str">
        <f>_xlfn.XLOOKUP(E122,'Title Abstract Screening'!G:G,'Title Abstract Screening'!B:B,"")</f>
        <v>physiological factors</v>
      </c>
      <c r="C122" t="s">
        <v>6871</v>
      </c>
      <c r="D122" t="s">
        <v>4446</v>
      </c>
      <c r="E122" s="6" t="s">
        <v>4447</v>
      </c>
      <c r="F122">
        <v>2023</v>
      </c>
      <c r="G122" t="s">
        <v>6869</v>
      </c>
      <c r="H122" t="s">
        <v>6867</v>
      </c>
      <c r="I122" t="s">
        <v>6870</v>
      </c>
      <c r="J122">
        <v>23</v>
      </c>
      <c r="K122" t="s">
        <v>6854</v>
      </c>
      <c r="L122" t="s">
        <v>6868</v>
      </c>
    </row>
    <row r="123" spans="1:12" x14ac:dyDescent="0.2">
      <c r="A123" t="s">
        <v>6684</v>
      </c>
      <c r="B123" t="str">
        <f>_xlfn.XLOOKUP(E123,'Title Abstract Screening'!G:G,'Title Abstract Screening'!B:B,"")</f>
        <v>no automation, heuristics</v>
      </c>
      <c r="C123" t="s">
        <v>7086</v>
      </c>
      <c r="D123" t="s">
        <v>103</v>
      </c>
      <c r="E123" s="6" t="s">
        <v>104</v>
      </c>
      <c r="F123">
        <v>2025</v>
      </c>
    </row>
  </sheetData>
  <autoFilter ref="A1:CI123" xr:uid="{B9415D2B-C3D6-0F4E-9C28-315163B62B8F}">
    <filterColumn colId="0">
      <filters>
        <filter val="exclude"/>
        <filter val="exclude duplicate"/>
      </filters>
    </filterColumn>
  </autoFilter>
  <pageMargins left="0.7" right="0.7" top="0.78740157499999996" bottom="0.78740157499999996"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20B46-1224-634D-B676-35F272648528}">
  <dimension ref="A1:BL45"/>
  <sheetViews>
    <sheetView zoomScaleNormal="100" workbookViewId="0">
      <selection activeCell="D65" sqref="D65"/>
    </sheetView>
  </sheetViews>
  <sheetFormatPr baseColWidth="10" defaultRowHeight="16" x14ac:dyDescent="0.2"/>
  <cols>
    <col min="2" max="2" width="26" bestFit="1" customWidth="1"/>
    <col min="3" max="3" width="40.33203125" customWidth="1"/>
    <col min="4" max="4" width="17.1640625" customWidth="1"/>
    <col min="5" max="5" width="114" customWidth="1"/>
    <col min="6" max="6" width="40.33203125" customWidth="1"/>
    <col min="7" max="7" width="14.5" style="11" customWidth="1"/>
    <col min="8" max="8" width="30.33203125" style="11" bestFit="1" customWidth="1"/>
    <col min="9" max="9" width="20.1640625" style="11" bestFit="1" customWidth="1"/>
    <col min="10" max="10" width="27.5" style="11" bestFit="1" customWidth="1"/>
    <col min="11" max="11" width="13" style="11" bestFit="1" customWidth="1"/>
    <col min="12" max="12" width="17.6640625" style="11" bestFit="1" customWidth="1"/>
    <col min="13" max="13" width="9.83203125" style="11" bestFit="1" customWidth="1"/>
    <col min="14" max="14" width="89.6640625" customWidth="1"/>
    <col min="15" max="15" width="48.83203125" customWidth="1"/>
    <col min="16" max="16" width="59.5" bestFit="1" customWidth="1"/>
    <col min="20" max="20" width="135.6640625" bestFit="1" customWidth="1"/>
    <col min="21" max="21" width="25" customWidth="1"/>
    <col min="22" max="22" width="19.1640625" customWidth="1"/>
    <col min="23" max="23" width="18.5" customWidth="1"/>
    <col min="24" max="24" width="14.1640625" customWidth="1"/>
    <col min="25" max="25" width="22.5" customWidth="1"/>
    <col min="26" max="26" width="20" customWidth="1"/>
    <col min="27" max="27" width="18.6640625" customWidth="1"/>
    <col min="28" max="28" width="24.5" customWidth="1"/>
    <col min="29" max="30" width="16" customWidth="1"/>
    <col min="31" max="31" width="21.1640625" customWidth="1"/>
    <col min="32" max="32" width="18.33203125" customWidth="1"/>
    <col min="33" max="33" width="12.33203125" customWidth="1"/>
    <col min="34" max="34" width="18.83203125" customWidth="1"/>
    <col min="35" max="35" width="17.5" customWidth="1"/>
    <col min="36" max="36" width="22.83203125" customWidth="1"/>
    <col min="37" max="37" width="21.1640625" customWidth="1"/>
    <col min="38" max="38" width="24.5" customWidth="1"/>
    <col min="39" max="39" width="17.1640625" customWidth="1"/>
    <col min="40" max="40" width="19.33203125" customWidth="1"/>
    <col min="41" max="41" width="29" customWidth="1"/>
    <col min="42" max="42" width="23.33203125" customWidth="1"/>
    <col min="43" max="43" width="29" bestFit="1" customWidth="1"/>
    <col min="44" max="44" width="22.5" bestFit="1" customWidth="1"/>
    <col min="45" max="45" width="25.6640625" bestFit="1" customWidth="1"/>
    <col min="46" max="46" width="27.83203125" bestFit="1" customWidth="1"/>
    <col min="47" max="47" width="28.83203125" bestFit="1" customWidth="1"/>
    <col min="48" max="48" width="28.6640625" bestFit="1" customWidth="1"/>
    <col min="49" max="49" width="26.1640625" bestFit="1" customWidth="1"/>
    <col min="50" max="50" width="19.33203125" bestFit="1" customWidth="1"/>
    <col min="51" max="51" width="17.1640625" bestFit="1" customWidth="1"/>
    <col min="52" max="52" width="17.33203125" bestFit="1" customWidth="1"/>
    <col min="53" max="53" width="17.6640625" bestFit="1" customWidth="1"/>
    <col min="54" max="54" width="29.1640625" bestFit="1" customWidth="1"/>
    <col min="55" max="55" width="19.83203125" bestFit="1" customWidth="1"/>
    <col min="56" max="56" width="26.1640625" bestFit="1" customWidth="1"/>
    <col min="57" max="57" width="17.6640625" bestFit="1" customWidth="1"/>
    <col min="58" max="58" width="17.83203125" bestFit="1" customWidth="1"/>
    <col min="59" max="59" width="25.5" bestFit="1" customWidth="1"/>
    <col min="60" max="60" width="22.83203125" bestFit="1" customWidth="1"/>
    <col min="61" max="61" width="23" bestFit="1" customWidth="1"/>
    <col min="62" max="62" width="25.6640625" bestFit="1" customWidth="1"/>
    <col min="63" max="63" width="22.1640625" bestFit="1" customWidth="1"/>
    <col min="64" max="64" width="19.1640625" bestFit="1" customWidth="1"/>
  </cols>
  <sheetData>
    <row r="1" spans="1:64" s="6" customFormat="1" x14ac:dyDescent="0.2">
      <c r="A1" s="6" t="s">
        <v>6677</v>
      </c>
      <c r="B1" s="6" t="s">
        <v>7057</v>
      </c>
      <c r="C1" s="6" t="s">
        <v>7056</v>
      </c>
      <c r="D1" s="6" t="s">
        <v>3</v>
      </c>
      <c r="E1" s="6" t="s">
        <v>4</v>
      </c>
      <c r="F1" s="6" t="s">
        <v>7032</v>
      </c>
      <c r="G1" s="12" t="s">
        <v>2</v>
      </c>
      <c r="H1" s="12" t="s">
        <v>6984</v>
      </c>
      <c r="I1" s="12" t="s">
        <v>6987</v>
      </c>
      <c r="J1" s="12" t="s">
        <v>6985</v>
      </c>
      <c r="K1" s="12" t="s">
        <v>6980</v>
      </c>
      <c r="L1" s="12" t="s">
        <v>6983</v>
      </c>
      <c r="M1" s="12" t="s">
        <v>6988</v>
      </c>
      <c r="N1" s="6" t="s">
        <v>6682</v>
      </c>
      <c r="O1" s="6" t="s">
        <v>6678</v>
      </c>
      <c r="P1" s="6" t="s">
        <v>6680</v>
      </c>
      <c r="Q1" s="6" t="s">
        <v>6681</v>
      </c>
      <c r="R1" s="6" t="s">
        <v>7065</v>
      </c>
      <c r="S1" s="6" t="s">
        <v>6683</v>
      </c>
      <c r="T1" s="6" t="s">
        <v>6679</v>
      </c>
      <c r="U1" s="6" t="s">
        <v>6934</v>
      </c>
      <c r="V1" s="6" t="s">
        <v>6930</v>
      </c>
      <c r="W1" s="6" t="s">
        <v>6927</v>
      </c>
      <c r="X1" s="6" t="s">
        <v>6929</v>
      </c>
      <c r="Y1" s="6" t="s">
        <v>6931</v>
      </c>
      <c r="Z1" s="6" t="s">
        <v>6932</v>
      </c>
      <c r="AA1" s="6" t="s">
        <v>6933</v>
      </c>
      <c r="AB1" s="6" t="s">
        <v>6935</v>
      </c>
      <c r="AC1" s="6" t="s">
        <v>6936</v>
      </c>
      <c r="AD1" s="6" t="s">
        <v>6948</v>
      </c>
      <c r="AE1" s="6" t="s">
        <v>6937</v>
      </c>
      <c r="AF1" s="6" t="s">
        <v>6938</v>
      </c>
      <c r="AG1" s="6" t="s">
        <v>6942</v>
      </c>
      <c r="AH1" s="6" t="s">
        <v>6940</v>
      </c>
      <c r="AI1" s="6" t="s">
        <v>6941</v>
      </c>
      <c r="AJ1" s="6" t="s">
        <v>6943</v>
      </c>
      <c r="AK1" s="6" t="s">
        <v>6944</v>
      </c>
      <c r="AL1" s="6" t="s">
        <v>6946</v>
      </c>
      <c r="AM1" s="6" t="s">
        <v>6947</v>
      </c>
      <c r="AN1" s="6" t="s">
        <v>6949</v>
      </c>
      <c r="AO1" s="6" t="s">
        <v>6950</v>
      </c>
      <c r="AP1" s="6" t="s">
        <v>6953</v>
      </c>
      <c r="AQ1" s="6" t="s">
        <v>6989</v>
      </c>
      <c r="AR1" s="6" t="s">
        <v>6954</v>
      </c>
      <c r="AS1" s="6" t="s">
        <v>6955</v>
      </c>
      <c r="AT1" s="6" t="s">
        <v>6956</v>
      </c>
      <c r="AU1" s="6" t="s">
        <v>6958</v>
      </c>
      <c r="AV1" s="6" t="s">
        <v>6957</v>
      </c>
      <c r="AW1" s="6" t="s">
        <v>6959</v>
      </c>
      <c r="AX1" s="6" t="s">
        <v>6960</v>
      </c>
      <c r="AY1" s="6" t="s">
        <v>6961</v>
      </c>
      <c r="AZ1" s="6" t="s">
        <v>6974</v>
      </c>
      <c r="BA1" s="6" t="s">
        <v>6973</v>
      </c>
      <c r="BB1" s="6" t="s">
        <v>6962</v>
      </c>
      <c r="BC1" s="6" t="s">
        <v>6963</v>
      </c>
      <c r="BD1" s="6" t="s">
        <v>6964</v>
      </c>
      <c r="BE1" s="6" t="s">
        <v>6966</v>
      </c>
      <c r="BF1" s="6" t="s">
        <v>6967</v>
      </c>
      <c r="BG1" s="6" t="s">
        <v>6968</v>
      </c>
      <c r="BH1" s="6" t="s">
        <v>6970</v>
      </c>
      <c r="BI1" s="6" t="s">
        <v>6972</v>
      </c>
      <c r="BJ1" s="6" t="s">
        <v>6976</v>
      </c>
      <c r="BK1" s="6" t="s">
        <v>6981</v>
      </c>
      <c r="BL1" s="6" t="s">
        <v>6982</v>
      </c>
    </row>
    <row r="2" spans="1:64" x14ac:dyDescent="0.2">
      <c r="A2" t="s">
        <v>6686</v>
      </c>
      <c r="B2" t="str">
        <f>_xlfn.XLOOKUP(E2,'Title Abstract Screening'!G:G,'Title Abstract Screening'!B:B,"")</f>
        <v>physiological factors</v>
      </c>
      <c r="C2" t="str">
        <f>_xlfn.XLOOKUP(E2,'Full Text Screening'!E:E,'Full Text Screening'!C:C," ")</f>
        <v>heart beat</v>
      </c>
      <c r="D2" t="s">
        <v>6007</v>
      </c>
      <c r="E2" s="6" t="s">
        <v>6008</v>
      </c>
      <c r="F2" t="s">
        <v>6997</v>
      </c>
      <c r="G2" s="11">
        <v>2023</v>
      </c>
      <c r="H2" s="11" t="s">
        <v>6928</v>
      </c>
      <c r="N2" t="s">
        <v>6689</v>
      </c>
      <c r="O2" t="s">
        <v>6690</v>
      </c>
      <c r="P2" t="s">
        <v>6691</v>
      </c>
      <c r="Q2">
        <v>86</v>
      </c>
      <c r="S2" t="s">
        <v>6692</v>
      </c>
      <c r="T2" t="s">
        <v>6693</v>
      </c>
      <c r="U2" s="13"/>
      <c r="W2" t="s">
        <v>6928</v>
      </c>
      <c r="AR2" t="s">
        <v>6928</v>
      </c>
      <c r="BK2">
        <f t="shared" ref="BK2:BK43" si="0">COUNTIF(AQ2:BJ2,"x")</f>
        <v>1</v>
      </c>
      <c r="BL2">
        <f t="shared" ref="BL2:BL43" si="1">COUNTIF(U2:AP2,"x")</f>
        <v>1</v>
      </c>
    </row>
    <row r="3" spans="1:64" x14ac:dyDescent="0.2">
      <c r="A3" t="s">
        <v>6686</v>
      </c>
      <c r="B3" t="str">
        <f>_xlfn.XLOOKUP(E3,'Title Abstract Screening'!G:G,'Title Abstract Screening'!B:B,"")</f>
        <v>usability evaluation unclear, read fulltext</v>
      </c>
      <c r="C3" t="str">
        <f>_xlfn.XLOOKUP(E3,'Full Text Screening'!E:E,'Full Text Screening'!C:C," ")</f>
        <v>time tracking with step count</v>
      </c>
      <c r="D3" t="s">
        <v>4620</v>
      </c>
      <c r="E3" s="6" t="s">
        <v>4621</v>
      </c>
      <c r="F3" t="s">
        <v>7012</v>
      </c>
      <c r="G3" s="11">
        <v>2010</v>
      </c>
      <c r="H3" s="11" t="s">
        <v>6928</v>
      </c>
      <c r="N3" t="s">
        <v>6687</v>
      </c>
      <c r="O3" t="s">
        <v>6695</v>
      </c>
      <c r="P3" t="s">
        <v>7062</v>
      </c>
      <c r="Q3">
        <v>8</v>
      </c>
      <c r="R3" t="s">
        <v>6696</v>
      </c>
      <c r="S3" t="s">
        <v>6697</v>
      </c>
      <c r="T3" t="s">
        <v>6694</v>
      </c>
      <c r="V3" t="s">
        <v>6928</v>
      </c>
      <c r="Z3" t="s">
        <v>6928</v>
      </c>
      <c r="AS3" t="s">
        <v>6928</v>
      </c>
      <c r="BK3">
        <f t="shared" si="0"/>
        <v>1</v>
      </c>
      <c r="BL3">
        <f t="shared" si="1"/>
        <v>2</v>
      </c>
    </row>
    <row r="4" spans="1:64" x14ac:dyDescent="0.2">
      <c r="A4" t="s">
        <v>6686</v>
      </c>
      <c r="B4" t="str">
        <f>_xlfn.XLOOKUP(E4,'Title Abstract Screening'!G:G,'Title Abstract Screening'!B:B,"")</f>
        <v>multimodal ux NN</v>
      </c>
      <c r="C4" t="str">
        <f>_xlfn.XLOOKUP(E4,'Full Text Screening'!E:E,'Full Text Screening'!C:C," ")</f>
        <v>read again for final extraction</v>
      </c>
      <c r="D4" t="s">
        <v>3977</v>
      </c>
      <c r="E4" s="7" t="s">
        <v>3978</v>
      </c>
      <c r="F4" t="s">
        <v>7016</v>
      </c>
      <c r="G4" s="11">
        <v>2025</v>
      </c>
      <c r="H4" s="11" t="s">
        <v>6928</v>
      </c>
      <c r="M4" s="11" t="s">
        <v>6928</v>
      </c>
      <c r="N4" t="s">
        <v>6912</v>
      </c>
      <c r="O4" t="s">
        <v>6911</v>
      </c>
      <c r="P4" t="s">
        <v>6803</v>
      </c>
      <c r="Q4">
        <v>22</v>
      </c>
      <c r="S4" t="s">
        <v>6692</v>
      </c>
      <c r="T4" t="s">
        <v>6913</v>
      </c>
      <c r="W4" t="s">
        <v>6928</v>
      </c>
      <c r="AT4" t="s">
        <v>6928</v>
      </c>
      <c r="AU4" t="s">
        <v>6928</v>
      </c>
      <c r="AV4" t="s">
        <v>6928</v>
      </c>
      <c r="AW4" t="s">
        <v>6928</v>
      </c>
      <c r="BK4">
        <f t="shared" si="0"/>
        <v>4</v>
      </c>
      <c r="BL4">
        <f t="shared" si="1"/>
        <v>1</v>
      </c>
    </row>
    <row r="5" spans="1:64" x14ac:dyDescent="0.2">
      <c r="A5" t="s">
        <v>6686</v>
      </c>
      <c r="B5" t="str">
        <f>_xlfn.XLOOKUP(E5,'Title Abstract Screening'!G:G,'Title Abstract Screening'!B:B,"")</f>
        <v>physiological factors</v>
      </c>
      <c r="C5" t="str">
        <f>_xlfn.XLOOKUP(E5,'Full Text Screening'!E:E,'Full Text Screening'!C:C," ")</f>
        <v>flow</v>
      </c>
      <c r="D5" t="s">
        <v>4415</v>
      </c>
      <c r="E5" s="6" t="s">
        <v>4416</v>
      </c>
      <c r="F5" t="s">
        <v>6991</v>
      </c>
      <c r="G5" s="11">
        <v>2016</v>
      </c>
      <c r="H5" s="11" t="s">
        <v>6928</v>
      </c>
      <c r="N5" t="s">
        <v>6698</v>
      </c>
      <c r="O5" t="s">
        <v>6700</v>
      </c>
      <c r="P5" t="s">
        <v>6701</v>
      </c>
      <c r="Q5">
        <v>36</v>
      </c>
      <c r="S5" t="s">
        <v>6692</v>
      </c>
      <c r="T5" t="s">
        <v>6699</v>
      </c>
      <c r="X5" t="s">
        <v>6928</v>
      </c>
      <c r="AR5" t="s">
        <v>6928</v>
      </c>
      <c r="BA5" t="s">
        <v>6928</v>
      </c>
      <c r="BI5" t="s">
        <v>6928</v>
      </c>
      <c r="BK5">
        <f t="shared" si="0"/>
        <v>3</v>
      </c>
      <c r="BL5">
        <f t="shared" si="1"/>
        <v>1</v>
      </c>
    </row>
    <row r="6" spans="1:64" x14ac:dyDescent="0.2">
      <c r="A6" t="s">
        <v>6686</v>
      </c>
      <c r="B6" t="str">
        <f>_xlfn.XLOOKUP(E6,'Title Abstract Screening'!G:G,'Title Abstract Screening'!B:B,"")</f>
        <v>automation unclear, read fulltext</v>
      </c>
      <c r="C6" t="str">
        <f>_xlfn.XLOOKUP(E6,'Full Text Screening'!E:E,'Full Text Screening'!C:C," ")</f>
        <v>head movement</v>
      </c>
      <c r="D6" t="s">
        <v>3828</v>
      </c>
      <c r="E6" s="6" t="s">
        <v>3829</v>
      </c>
      <c r="F6" t="s">
        <v>7024</v>
      </c>
      <c r="G6" s="11">
        <v>2008</v>
      </c>
      <c r="H6" s="11" t="s">
        <v>6928</v>
      </c>
      <c r="N6" t="s">
        <v>6704</v>
      </c>
      <c r="O6" t="s">
        <v>6705</v>
      </c>
      <c r="P6" t="s">
        <v>7062</v>
      </c>
      <c r="Q6">
        <v>2</v>
      </c>
      <c r="S6" t="s">
        <v>6692</v>
      </c>
      <c r="T6" t="s">
        <v>6703</v>
      </c>
      <c r="Y6" t="s">
        <v>6928</v>
      </c>
      <c r="Z6" t="s">
        <v>6928</v>
      </c>
      <c r="AU6" t="s">
        <v>6928</v>
      </c>
      <c r="BK6">
        <f t="shared" si="0"/>
        <v>1</v>
      </c>
      <c r="BL6">
        <f t="shared" si="1"/>
        <v>2</v>
      </c>
    </row>
    <row r="7" spans="1:64" x14ac:dyDescent="0.2">
      <c r="A7" t="s">
        <v>6686</v>
      </c>
      <c r="B7" t="str">
        <f>_xlfn.XLOOKUP(E7,'Title Abstract Screening'!G:G,'Title Abstract Screening'!B:B,"")</f>
        <v>head rotation frequency</v>
      </c>
      <c r="C7" t="str">
        <f>_xlfn.XLOOKUP(E7,'Full Text Screening'!E:E,'Full Text Screening'!C:C,"/")</f>
        <v xml:space="preserve"> </v>
      </c>
      <c r="D7" t="s">
        <v>1486</v>
      </c>
      <c r="E7" s="6" t="s">
        <v>2036</v>
      </c>
      <c r="F7" t="s">
        <v>7004</v>
      </c>
      <c r="G7" s="11">
        <v>2020</v>
      </c>
      <c r="H7" s="11" t="s">
        <v>6928</v>
      </c>
      <c r="N7" t="s">
        <v>6707</v>
      </c>
      <c r="O7" t="s">
        <v>6952</v>
      </c>
      <c r="P7" t="s">
        <v>6709</v>
      </c>
      <c r="Q7">
        <v>48</v>
      </c>
      <c r="S7" t="s">
        <v>6697</v>
      </c>
      <c r="T7" t="s">
        <v>6710</v>
      </c>
      <c r="AA7" t="s">
        <v>6928</v>
      </c>
      <c r="AU7" t="s">
        <v>6928</v>
      </c>
      <c r="BK7">
        <f t="shared" si="0"/>
        <v>1</v>
      </c>
      <c r="BL7">
        <f t="shared" si="1"/>
        <v>1</v>
      </c>
    </row>
    <row r="8" spans="1:64" x14ac:dyDescent="0.2">
      <c r="A8" t="s">
        <v>6686</v>
      </c>
      <c r="B8" t="str">
        <f>_xlfn.XLOOKUP(E8,'Title Abstract Screening'!G:G,'Title Abstract Screening'!B:B,"")</f>
        <v>agent based</v>
      </c>
      <c r="C8" t="str">
        <f>_xlfn.XLOOKUP(E8,'Full Text Screening'!E:E,'Full Text Screening'!C:C," ")</f>
        <v>agent based, but only introductionof technique</v>
      </c>
      <c r="D8" t="s">
        <v>5192</v>
      </c>
      <c r="E8" s="6" t="s">
        <v>5193</v>
      </c>
      <c r="F8" t="s">
        <v>7019</v>
      </c>
      <c r="G8" s="11">
        <v>2020</v>
      </c>
      <c r="K8" s="11" t="s">
        <v>6928</v>
      </c>
      <c r="N8" t="s">
        <v>6713</v>
      </c>
      <c r="O8" t="s">
        <v>6921</v>
      </c>
      <c r="P8" t="s">
        <v>7062</v>
      </c>
      <c r="Q8" t="s">
        <v>6920</v>
      </c>
      <c r="S8" t="s">
        <v>6714</v>
      </c>
      <c r="T8" t="s">
        <v>7112</v>
      </c>
      <c r="V8" t="s">
        <v>6928</v>
      </c>
      <c r="Z8" t="s">
        <v>6928</v>
      </c>
      <c r="AA8" t="s">
        <v>6928</v>
      </c>
      <c r="AQ8" t="s">
        <v>6928</v>
      </c>
      <c r="BK8">
        <f t="shared" si="0"/>
        <v>1</v>
      </c>
      <c r="BL8">
        <f t="shared" si="1"/>
        <v>3</v>
      </c>
    </row>
    <row r="9" spans="1:64" x14ac:dyDescent="0.2">
      <c r="A9" t="s">
        <v>6686</v>
      </c>
      <c r="B9" t="str">
        <f>_xlfn.XLOOKUP(E9,'Title Abstract Screening'!G:G,'Title Abstract Screening'!B:B,"")</f>
        <v>physiological factors</v>
      </c>
      <c r="C9" t="str">
        <f>_xlfn.XLOOKUP(E9,'Full Text Screening'!E:E,'Full Text Screening'!C:C," ")</f>
        <v>EEG, head movement for correlation of viewpoint to EEG</v>
      </c>
      <c r="D9" t="s">
        <v>4759</v>
      </c>
      <c r="E9" s="6" t="s">
        <v>4760</v>
      </c>
      <c r="F9" t="s">
        <v>7001</v>
      </c>
      <c r="G9" s="11">
        <v>2018</v>
      </c>
      <c r="H9" s="11" t="s">
        <v>6928</v>
      </c>
      <c r="N9" t="s">
        <v>6715</v>
      </c>
      <c r="O9" t="s">
        <v>6716</v>
      </c>
      <c r="P9" t="s">
        <v>6719</v>
      </c>
      <c r="Q9">
        <v>25</v>
      </c>
      <c r="S9" t="s">
        <v>6692</v>
      </c>
      <c r="T9" t="s">
        <v>6717</v>
      </c>
      <c r="AK9" t="s">
        <v>6928</v>
      </c>
      <c r="AU9" t="s">
        <v>6928</v>
      </c>
      <c r="AY9" t="s">
        <v>6928</v>
      </c>
      <c r="BK9">
        <f t="shared" si="0"/>
        <v>2</v>
      </c>
      <c r="BL9">
        <f t="shared" si="1"/>
        <v>1</v>
      </c>
    </row>
    <row r="10" spans="1:64" x14ac:dyDescent="0.2">
      <c r="A10" t="s">
        <v>6686</v>
      </c>
      <c r="B10" t="str">
        <f>_xlfn.XLOOKUP(E10,'Title Abstract Screening'!G:G,'Title Abstract Screening'!B:B,"")</f>
        <v>face tracking</v>
      </c>
      <c r="C10" t="str">
        <f>_xlfn.XLOOKUP(E10,'Full Text Screening'!E:E,'Full Text Screening'!C:C," ")</f>
        <v>micro expressions</v>
      </c>
      <c r="D10" t="s">
        <v>1486</v>
      </c>
      <c r="E10" s="6" t="s">
        <v>1487</v>
      </c>
      <c r="F10" t="s">
        <v>7003</v>
      </c>
      <c r="G10" s="11">
        <v>2020</v>
      </c>
      <c r="H10" s="11" t="s">
        <v>6928</v>
      </c>
      <c r="N10" t="s">
        <v>6661</v>
      </c>
      <c r="O10" t="s">
        <v>6952</v>
      </c>
      <c r="P10" t="s">
        <v>6722</v>
      </c>
      <c r="Q10">
        <v>48</v>
      </c>
      <c r="S10" t="s">
        <v>6697</v>
      </c>
      <c r="T10" t="s">
        <v>6721</v>
      </c>
      <c r="Z10" t="s">
        <v>6928</v>
      </c>
      <c r="AV10" t="s">
        <v>6928</v>
      </c>
      <c r="BK10">
        <f t="shared" si="0"/>
        <v>1</v>
      </c>
      <c r="BL10">
        <f t="shared" si="1"/>
        <v>1</v>
      </c>
    </row>
    <row r="11" spans="1:64" x14ac:dyDescent="0.2">
      <c r="A11" t="s">
        <v>6686</v>
      </c>
      <c r="B11" t="str">
        <f>_xlfn.XLOOKUP(E11,'Title Abstract Screening'!G:G,'Title Abstract Screening'!B:B,"")</f>
        <v>automation unclear, read fulltext</v>
      </c>
      <c r="C11" t="str">
        <f>_xlfn.XLOOKUP(E11,'Full Text Screening'!E:E,'Full Text Screening'!C:C," ")</f>
        <v>read again for final extraction</v>
      </c>
      <c r="D11" t="s">
        <v>6214</v>
      </c>
      <c r="E11" s="6" t="s">
        <v>6215</v>
      </c>
      <c r="F11" t="s">
        <v>6994</v>
      </c>
      <c r="G11" s="11">
        <v>2021</v>
      </c>
      <c r="H11" s="11" t="s">
        <v>6928</v>
      </c>
      <c r="N11" t="s">
        <v>6917</v>
      </c>
      <c r="O11" t="s">
        <v>6918</v>
      </c>
      <c r="P11" t="s">
        <v>6915</v>
      </c>
      <c r="Q11">
        <v>48</v>
      </c>
      <c r="S11" t="s">
        <v>6692</v>
      </c>
      <c r="T11" t="s">
        <v>6916</v>
      </c>
      <c r="AP11" t="s">
        <v>6928</v>
      </c>
      <c r="AR11" t="s">
        <v>6928</v>
      </c>
      <c r="BK11">
        <f t="shared" si="0"/>
        <v>1</v>
      </c>
      <c r="BL11">
        <f t="shared" si="1"/>
        <v>1</v>
      </c>
    </row>
    <row r="12" spans="1:64" x14ac:dyDescent="0.2">
      <c r="A12" t="s">
        <v>6686</v>
      </c>
      <c r="B12" t="str">
        <f>_xlfn.XLOOKUP(E12,'Title Abstract Screening'!G:G,'Title Abstract Screening'!B:B,"")</f>
        <v>Event-based</v>
      </c>
      <c r="C12" t="str">
        <f>_xlfn.XLOOKUP(E12,'Full Text Screening'!E:E,'Full Text Screening'!C:C," ")</f>
        <v xml:space="preserve">Correlation of events to heart beat </v>
      </c>
      <c r="D12" t="s">
        <v>5885</v>
      </c>
      <c r="E12" s="6" t="s">
        <v>5886</v>
      </c>
      <c r="F12" t="s">
        <v>6995</v>
      </c>
      <c r="G12" s="11">
        <v>2019</v>
      </c>
      <c r="H12" s="11" t="s">
        <v>6928</v>
      </c>
      <c r="N12" t="s">
        <v>6727</v>
      </c>
      <c r="O12" t="s">
        <v>6728</v>
      </c>
      <c r="P12" t="s">
        <v>7062</v>
      </c>
      <c r="Q12">
        <v>80</v>
      </c>
      <c r="S12" t="s">
        <v>6692</v>
      </c>
      <c r="T12" t="s">
        <v>6729</v>
      </c>
      <c r="V12" t="s">
        <v>6928</v>
      </c>
      <c r="AR12" t="s">
        <v>6928</v>
      </c>
      <c r="AX12" t="s">
        <v>6928</v>
      </c>
      <c r="BK12">
        <f t="shared" si="0"/>
        <v>2</v>
      </c>
      <c r="BL12">
        <f t="shared" si="1"/>
        <v>1</v>
      </c>
    </row>
    <row r="13" spans="1:64" x14ac:dyDescent="0.2">
      <c r="A13" t="s">
        <v>6686</v>
      </c>
      <c r="B13" t="str">
        <f>_xlfn.XLOOKUP(E13,'Title Abstract Screening'!G:G,'Title Abstract Screening'!B:B,"")</f>
        <v>AutoQUEST</v>
      </c>
      <c r="C13" t="str">
        <f>_xlfn.XLOOKUP(E13,'Full Text Screening'!E:E,'Full Text Screening'!C:C," ")</f>
        <v>Task Trees genereted after VR usage</v>
      </c>
      <c r="D13" t="s">
        <v>3438</v>
      </c>
      <c r="E13" s="6" t="s">
        <v>3439</v>
      </c>
      <c r="F13" t="s">
        <v>7000</v>
      </c>
      <c r="G13" s="11">
        <v>2019</v>
      </c>
      <c r="H13" s="11" t="s">
        <v>6928</v>
      </c>
      <c r="L13" s="11" t="s">
        <v>6928</v>
      </c>
      <c r="N13" t="s">
        <v>6737</v>
      </c>
      <c r="O13" t="s">
        <v>6925</v>
      </c>
      <c r="P13" t="s">
        <v>6736</v>
      </c>
      <c r="Q13">
        <v>84</v>
      </c>
      <c r="S13" t="s">
        <v>6692</v>
      </c>
      <c r="T13" t="s">
        <v>6734</v>
      </c>
      <c r="AB13" t="s">
        <v>6928</v>
      </c>
      <c r="AX13" t="s">
        <v>6928</v>
      </c>
      <c r="BK13">
        <f t="shared" si="0"/>
        <v>1</v>
      </c>
      <c r="BL13">
        <f t="shared" si="1"/>
        <v>1</v>
      </c>
    </row>
    <row r="14" spans="1:64" x14ac:dyDescent="0.2">
      <c r="A14" t="s">
        <v>6686</v>
      </c>
      <c r="B14" t="str">
        <f>_xlfn.XLOOKUP(E14,'Title Abstract Screening'!G:G,'Title Abstract Screening'!B:B,"")</f>
        <v>AutoQUEST</v>
      </c>
      <c r="C14" t="str">
        <f>_xlfn.XLOOKUP(E14,'Full Text Screening'!E:E,'Full Text Screening'!C:C," ")</f>
        <v xml:space="preserve"> </v>
      </c>
      <c r="D14" t="s">
        <v>391</v>
      </c>
      <c r="E14" s="6" t="s">
        <v>6675</v>
      </c>
      <c r="F14" t="s">
        <v>7007</v>
      </c>
      <c r="G14" s="11">
        <v>2022</v>
      </c>
      <c r="H14" s="11" t="s">
        <v>6928</v>
      </c>
      <c r="L14" s="11" t="s">
        <v>6928</v>
      </c>
      <c r="N14" t="s">
        <v>6738</v>
      </c>
      <c r="O14" t="s">
        <v>6926</v>
      </c>
      <c r="P14" t="s">
        <v>7111</v>
      </c>
      <c r="Q14">
        <v>14</v>
      </c>
      <c r="S14" t="s">
        <v>6692</v>
      </c>
      <c r="T14" t="s">
        <v>6740</v>
      </c>
      <c r="AB14" t="s">
        <v>6928</v>
      </c>
      <c r="AX14" t="s">
        <v>6928</v>
      </c>
      <c r="BK14">
        <f t="shared" si="0"/>
        <v>1</v>
      </c>
      <c r="BL14">
        <f t="shared" si="1"/>
        <v>1</v>
      </c>
    </row>
    <row r="15" spans="1:64" x14ac:dyDescent="0.2">
      <c r="A15" t="s">
        <v>6686</v>
      </c>
      <c r="B15" t="str">
        <f>_xlfn.XLOOKUP(E15,'Title Abstract Screening'!G:G,'Title Abstract Screening'!B:B,"")</f>
        <v>usability evaluation unclear, read fulltext</v>
      </c>
      <c r="C15" t="str">
        <f>_xlfn.XLOOKUP(E15,'Full Text Screening'!E:E,'Full Text Screening'!C:C," ")</f>
        <v xml:space="preserve"> </v>
      </c>
      <c r="D15" t="s">
        <v>2002</v>
      </c>
      <c r="E15" s="6" t="s">
        <v>2003</v>
      </c>
      <c r="F15" t="s">
        <v>6999</v>
      </c>
      <c r="G15" s="11">
        <v>2022</v>
      </c>
      <c r="H15" s="11" t="s">
        <v>6928</v>
      </c>
      <c r="N15" t="s">
        <v>7064</v>
      </c>
      <c r="O15" t="s">
        <v>6945</v>
      </c>
      <c r="P15" t="s">
        <v>6747</v>
      </c>
      <c r="Q15">
        <v>19</v>
      </c>
      <c r="S15" t="s">
        <v>6697</v>
      </c>
      <c r="T15" t="s">
        <v>6744</v>
      </c>
      <c r="U15" t="s">
        <v>6928</v>
      </c>
      <c r="AH15" t="s">
        <v>6928</v>
      </c>
      <c r="AK15" t="s">
        <v>6928</v>
      </c>
      <c r="AT15" t="s">
        <v>6928</v>
      </c>
      <c r="AU15" t="s">
        <v>6928</v>
      </c>
      <c r="AX15" t="s">
        <v>6928</v>
      </c>
      <c r="BE15" t="s">
        <v>6928</v>
      </c>
      <c r="BK15">
        <f t="shared" si="0"/>
        <v>4</v>
      </c>
      <c r="BL15">
        <f t="shared" si="1"/>
        <v>3</v>
      </c>
    </row>
    <row r="16" spans="1:64" x14ac:dyDescent="0.2">
      <c r="A16" t="s">
        <v>6686</v>
      </c>
      <c r="B16" t="str">
        <f>_xlfn.XLOOKUP(E16,'Title Abstract Screening'!G:G,'Title Abstract Screening'!B:B,"")</f>
        <v>physiological factors</v>
      </c>
      <c r="C16" t="str">
        <f>_xlfn.XLOOKUP(E16,'Full Text Screening'!E:E,'Full Text Screening'!C:C," ")</f>
        <v>EEG</v>
      </c>
      <c r="D16" t="s">
        <v>5375</v>
      </c>
      <c r="E16" s="6" t="s">
        <v>5376</v>
      </c>
      <c r="F16" t="s">
        <v>7002</v>
      </c>
      <c r="G16" s="11">
        <v>2017</v>
      </c>
      <c r="H16" s="11" t="s">
        <v>6928</v>
      </c>
      <c r="N16" t="s">
        <v>6752</v>
      </c>
      <c r="O16" t="s">
        <v>6753</v>
      </c>
      <c r="P16" t="s">
        <v>6754</v>
      </c>
      <c r="Q16">
        <v>32</v>
      </c>
      <c r="S16" t="s">
        <v>6692</v>
      </c>
      <c r="T16" t="s">
        <v>6752</v>
      </c>
      <c r="U16" t="s">
        <v>6928</v>
      </c>
      <c r="AY16" t="s">
        <v>6928</v>
      </c>
      <c r="BK16">
        <f t="shared" si="0"/>
        <v>1</v>
      </c>
      <c r="BL16">
        <f t="shared" si="1"/>
        <v>1</v>
      </c>
    </row>
    <row r="17" spans="1:64" x14ac:dyDescent="0.2">
      <c r="A17" t="s">
        <v>6686</v>
      </c>
      <c r="B17" t="str">
        <f>_xlfn.XLOOKUP(E17,'Title Abstract Screening'!G:G,'Title Abstract Screening'!B:B,"")</f>
        <v>eye tracking</v>
      </c>
      <c r="C17" t="str">
        <f>_xlfn.XLOOKUP(E17,'Full Text Screening'!E:E,'Full Text Screening'!C:C," ")</f>
        <v xml:space="preserve"> </v>
      </c>
      <c r="D17" t="s">
        <v>2071</v>
      </c>
      <c r="E17" s="6" t="s">
        <v>2072</v>
      </c>
      <c r="F17" t="s">
        <v>7010</v>
      </c>
      <c r="G17" s="11">
        <v>2022</v>
      </c>
      <c r="H17" s="11" t="s">
        <v>6928</v>
      </c>
      <c r="N17" t="s">
        <v>6758</v>
      </c>
      <c r="O17" t="s">
        <v>6756</v>
      </c>
      <c r="P17" t="s">
        <v>6757</v>
      </c>
      <c r="Q17">
        <v>40</v>
      </c>
      <c r="S17" t="s">
        <v>6692</v>
      </c>
      <c r="T17" t="s">
        <v>6755</v>
      </c>
      <c r="AC17" t="s">
        <v>6928</v>
      </c>
      <c r="AE17" t="s">
        <v>6928</v>
      </c>
      <c r="AF17" t="s">
        <v>6928</v>
      </c>
      <c r="AR17" t="s">
        <v>6928</v>
      </c>
      <c r="BE17" t="s">
        <v>6928</v>
      </c>
      <c r="BK17">
        <f t="shared" si="0"/>
        <v>2</v>
      </c>
      <c r="BL17">
        <f t="shared" si="1"/>
        <v>3</v>
      </c>
    </row>
    <row r="18" spans="1:64" x14ac:dyDescent="0.2">
      <c r="A18" t="s">
        <v>6686</v>
      </c>
      <c r="B18" t="str">
        <f>_xlfn.XLOOKUP(E18,'Title Abstract Screening'!G:G,'Title Abstract Screening'!B:B,"")</f>
        <v>eye tracking</v>
      </c>
      <c r="C18" t="str">
        <f>_xlfn.XLOOKUP(E18,'Full Text Screening'!E:E,'Full Text Screening'!C:C," ")</f>
        <v xml:space="preserve"> </v>
      </c>
      <c r="D18" t="s">
        <v>5800</v>
      </c>
      <c r="E18" s="6" t="s">
        <v>5801</v>
      </c>
      <c r="F18" t="s">
        <v>7017</v>
      </c>
      <c r="G18" s="11">
        <v>2021</v>
      </c>
      <c r="H18" s="11" t="s">
        <v>6928</v>
      </c>
      <c r="N18" t="s">
        <v>6760</v>
      </c>
      <c r="O18" t="s">
        <v>6939</v>
      </c>
      <c r="P18" t="s">
        <v>6761</v>
      </c>
      <c r="Q18">
        <v>18</v>
      </c>
      <c r="S18" t="s">
        <v>6697</v>
      </c>
      <c r="T18" t="s">
        <v>6965</v>
      </c>
      <c r="AF18" t="s">
        <v>6928</v>
      </c>
      <c r="AG18" t="s">
        <v>6928</v>
      </c>
      <c r="AU18" t="s">
        <v>6928</v>
      </c>
      <c r="BE18" t="s">
        <v>6928</v>
      </c>
      <c r="BK18">
        <f t="shared" si="0"/>
        <v>2</v>
      </c>
      <c r="BL18">
        <f t="shared" si="1"/>
        <v>2</v>
      </c>
    </row>
    <row r="19" spans="1:64" x14ac:dyDescent="0.2">
      <c r="A19" t="s">
        <v>6686</v>
      </c>
      <c r="B19" t="str">
        <f>_xlfn.XLOOKUP(E19,'Title Abstract Screening'!G:G,'Title Abstract Screening'!B:B,"")</f>
        <v>physiological factors</v>
      </c>
      <c r="C19" t="str">
        <f>_xlfn.XLOOKUP(E19,'Full Text Screening'!E:E,'Full Text Screening'!C:C," ")</f>
        <v>Electrodermal activity</v>
      </c>
      <c r="D19" t="s">
        <v>1710</v>
      </c>
      <c r="E19" s="6" t="s">
        <v>1711</v>
      </c>
      <c r="F19" t="s">
        <v>7028</v>
      </c>
      <c r="G19" s="11">
        <v>2020</v>
      </c>
      <c r="H19" s="11" t="s">
        <v>6928</v>
      </c>
      <c r="N19" t="s">
        <v>6767</v>
      </c>
      <c r="O19" t="s">
        <v>6765</v>
      </c>
      <c r="P19" t="s">
        <v>6766</v>
      </c>
      <c r="Q19">
        <v>60</v>
      </c>
      <c r="S19" t="s">
        <v>6692</v>
      </c>
      <c r="T19" t="s">
        <v>6764</v>
      </c>
      <c r="AF19" t="s">
        <v>6928</v>
      </c>
      <c r="AH19" t="s">
        <v>6928</v>
      </c>
      <c r="AU19" t="s">
        <v>6928</v>
      </c>
      <c r="AZ19" t="s">
        <v>6928</v>
      </c>
      <c r="BK19">
        <f t="shared" si="0"/>
        <v>2</v>
      </c>
      <c r="BL19">
        <f t="shared" si="1"/>
        <v>2</v>
      </c>
    </row>
    <row r="20" spans="1:64" x14ac:dyDescent="0.2">
      <c r="A20" t="s">
        <v>6686</v>
      </c>
      <c r="B20" t="str">
        <f>_xlfn.XLOOKUP(E20,'Title Abstract Screening'!G:G,'Title Abstract Screening'!B:B,"")</f>
        <v>eye tracking</v>
      </c>
      <c r="C20" t="str">
        <f>_xlfn.XLOOKUP(E20,'Full Text Screening'!E:E,'Full Text Screening'!C:C," ")</f>
        <v xml:space="preserve"> </v>
      </c>
      <c r="D20" t="s">
        <v>5530</v>
      </c>
      <c r="E20" s="6" t="s">
        <v>5531</v>
      </c>
      <c r="F20" t="s">
        <v>7021</v>
      </c>
      <c r="G20" s="11">
        <v>2025</v>
      </c>
      <c r="H20" s="11" t="s">
        <v>6928</v>
      </c>
      <c r="I20" s="11" t="s">
        <v>6928</v>
      </c>
      <c r="N20" t="s">
        <v>6775</v>
      </c>
      <c r="O20" t="s">
        <v>6774</v>
      </c>
      <c r="P20" t="s">
        <v>7062</v>
      </c>
      <c r="Q20">
        <v>2</v>
      </c>
      <c r="S20" t="s">
        <v>6692</v>
      </c>
      <c r="T20" t="s">
        <v>6773</v>
      </c>
      <c r="W20" t="s">
        <v>6928</v>
      </c>
      <c r="AF20" t="s">
        <v>6928</v>
      </c>
      <c r="AG20" t="s">
        <v>6928</v>
      </c>
      <c r="AI20" t="s">
        <v>6928</v>
      </c>
      <c r="BE20" t="s">
        <v>6928</v>
      </c>
      <c r="BK20">
        <f t="shared" si="0"/>
        <v>1</v>
      </c>
      <c r="BL20">
        <f t="shared" si="1"/>
        <v>4</v>
      </c>
    </row>
    <row r="21" spans="1:64" x14ac:dyDescent="0.2">
      <c r="A21" t="s">
        <v>6686</v>
      </c>
      <c r="B21" t="str">
        <f>_xlfn.XLOOKUP(E21,'Title Abstract Screening'!G:G,'Title Abstract Screening'!B:B,"")</f>
        <v>heart rate skeleton</v>
      </c>
      <c r="C21" t="str">
        <f>_xlfn.XLOOKUP(E21,'Full Text Screening'!E:E,'Full Text Screening'!C:C," ")</f>
        <v>A lot of automated measurement, but primarily for the exoskeleton</v>
      </c>
      <c r="D21" t="s">
        <v>1075</v>
      </c>
      <c r="E21" s="6" t="s">
        <v>1076</v>
      </c>
      <c r="F21" t="s">
        <v>7025</v>
      </c>
      <c r="G21" s="11">
        <v>2025</v>
      </c>
      <c r="H21" s="11" t="s">
        <v>6928</v>
      </c>
      <c r="N21" t="s">
        <v>7113</v>
      </c>
      <c r="O21" t="s">
        <v>6779</v>
      </c>
      <c r="P21" t="s">
        <v>7110</v>
      </c>
      <c r="Q21">
        <v>11</v>
      </c>
      <c r="S21" t="s">
        <v>6692</v>
      </c>
      <c r="T21" t="s">
        <v>6778</v>
      </c>
      <c r="AC21" t="s">
        <v>6928</v>
      </c>
      <c r="AR21" t="s">
        <v>6928</v>
      </c>
      <c r="BK21">
        <f t="shared" si="0"/>
        <v>1</v>
      </c>
      <c r="BL21">
        <f t="shared" si="1"/>
        <v>1</v>
      </c>
    </row>
    <row r="22" spans="1:64" x14ac:dyDescent="0.2">
      <c r="A22" t="s">
        <v>6686</v>
      </c>
      <c r="B22" t="str">
        <f>_xlfn.XLOOKUP(E22,'Title Abstract Screening'!G:G,'Title Abstract Screening'!B:B,"")</f>
        <v>physiological factors</v>
      </c>
      <c r="C22" t="str">
        <f>_xlfn.XLOOKUP(E22,'Full Text Screening'!E:E,'Full Text Screening'!C:C," ")</f>
        <v>EEG</v>
      </c>
      <c r="D22" t="s">
        <v>6313</v>
      </c>
      <c r="E22" s="6" t="s">
        <v>6314</v>
      </c>
      <c r="F22" t="s">
        <v>6993</v>
      </c>
      <c r="G22" s="11">
        <v>2023</v>
      </c>
      <c r="H22" s="11" t="s">
        <v>6928</v>
      </c>
      <c r="N22" t="s">
        <v>6780</v>
      </c>
      <c r="O22" t="s">
        <v>6783</v>
      </c>
      <c r="P22" t="s">
        <v>6781</v>
      </c>
      <c r="Q22">
        <v>27</v>
      </c>
      <c r="S22" t="s">
        <v>6692</v>
      </c>
      <c r="T22" t="s">
        <v>6782</v>
      </c>
      <c r="AF22" t="s">
        <v>6928</v>
      </c>
      <c r="AJ22" t="s">
        <v>6928</v>
      </c>
      <c r="AY22" t="s">
        <v>6928</v>
      </c>
      <c r="BK22">
        <f t="shared" si="0"/>
        <v>1</v>
      </c>
      <c r="BL22">
        <f t="shared" si="1"/>
        <v>2</v>
      </c>
    </row>
    <row r="23" spans="1:64" x14ac:dyDescent="0.2">
      <c r="A23" t="s">
        <v>6686</v>
      </c>
      <c r="B23" t="str">
        <f>_xlfn.XLOOKUP(E23,'Title Abstract Screening'!G:G,'Title Abstract Screening'!B:B,"")</f>
        <v>eye tracking</v>
      </c>
      <c r="C23" t="str">
        <f>_xlfn.XLOOKUP(E23,'Full Text Screening'!E:E,'Full Text Screening'!C:C," ")</f>
        <v xml:space="preserve"> </v>
      </c>
      <c r="D23" t="s">
        <v>1221</v>
      </c>
      <c r="E23" s="6" t="s">
        <v>1222</v>
      </c>
      <c r="F23" t="s">
        <v>6998</v>
      </c>
      <c r="G23" s="11">
        <v>2024</v>
      </c>
      <c r="H23" s="11" t="s">
        <v>6928</v>
      </c>
      <c r="N23" t="s">
        <v>6784</v>
      </c>
      <c r="O23" t="s">
        <v>6786</v>
      </c>
      <c r="P23" t="s">
        <v>7110</v>
      </c>
      <c r="Q23">
        <v>40</v>
      </c>
      <c r="S23" t="s">
        <v>6692</v>
      </c>
      <c r="T23" t="s">
        <v>6785</v>
      </c>
      <c r="W23" t="s">
        <v>6928</v>
      </c>
      <c r="AL23" t="s">
        <v>6928</v>
      </c>
      <c r="AM23" t="s">
        <v>6928</v>
      </c>
      <c r="AR23" t="s">
        <v>6928</v>
      </c>
      <c r="AZ23" t="s">
        <v>6928</v>
      </c>
      <c r="BE23" t="s">
        <v>6928</v>
      </c>
      <c r="BK23">
        <f t="shared" si="0"/>
        <v>3</v>
      </c>
      <c r="BL23">
        <f t="shared" si="1"/>
        <v>3</v>
      </c>
    </row>
    <row r="24" spans="1:64" x14ac:dyDescent="0.2">
      <c r="A24" t="s">
        <v>6686</v>
      </c>
      <c r="B24" t="str">
        <f>_xlfn.XLOOKUP(E24,'Title Abstract Screening'!G:G,'Title Abstract Screening'!B:B,"")</f>
        <v>usability evaluation unclear, read fulltext</v>
      </c>
      <c r="C24" t="str">
        <f>_xlfn.XLOOKUP(E24,'Full Text Screening'!E:E,'Full Text Screening'!C:C," ")</f>
        <v xml:space="preserve"> </v>
      </c>
      <c r="D24" t="s">
        <v>2570</v>
      </c>
      <c r="E24" s="6" t="s">
        <v>2571</v>
      </c>
      <c r="F24" t="s">
        <v>7018</v>
      </c>
      <c r="G24" s="11">
        <v>2016</v>
      </c>
      <c r="H24" s="11" t="s">
        <v>6928</v>
      </c>
      <c r="N24" t="s">
        <v>6793</v>
      </c>
      <c r="O24" t="s">
        <v>6790</v>
      </c>
      <c r="P24" t="s">
        <v>6794</v>
      </c>
      <c r="Q24">
        <v>2</v>
      </c>
      <c r="R24" t="s">
        <v>6792</v>
      </c>
      <c r="S24" t="s">
        <v>6697</v>
      </c>
      <c r="T24" t="s">
        <v>6791</v>
      </c>
      <c r="AL24" t="s">
        <v>6928</v>
      </c>
      <c r="BE24" t="s">
        <v>6928</v>
      </c>
      <c r="BG24" t="s">
        <v>6928</v>
      </c>
      <c r="BK24">
        <f t="shared" si="0"/>
        <v>2</v>
      </c>
      <c r="BL24">
        <f t="shared" si="1"/>
        <v>1</v>
      </c>
    </row>
    <row r="25" spans="1:64" x14ac:dyDescent="0.2">
      <c r="A25" t="s">
        <v>6686</v>
      </c>
      <c r="B25" t="str">
        <f>_xlfn.XLOOKUP(E25,'Title Abstract Screening'!G:G,'Title Abstract Screening'!B:B,"")</f>
        <v>physiological factors</v>
      </c>
      <c r="C25" t="str">
        <f>_xlfn.XLOOKUP(E25,'Full Text Screening'!E:E,'Full Text Screening'!C:C," ")</f>
        <v xml:space="preserve"> </v>
      </c>
      <c r="D25" t="s">
        <v>428</v>
      </c>
      <c r="E25" s="6" t="s">
        <v>429</v>
      </c>
      <c r="F25" t="s">
        <v>7030</v>
      </c>
      <c r="G25" s="11">
        <v>2021</v>
      </c>
      <c r="H25" s="11" t="s">
        <v>6928</v>
      </c>
      <c r="N25" t="s">
        <v>7114</v>
      </c>
      <c r="O25" t="s">
        <v>6922</v>
      </c>
      <c r="P25" t="s">
        <v>7109</v>
      </c>
      <c r="Q25" t="s">
        <v>7063</v>
      </c>
      <c r="R25" t="s">
        <v>7116</v>
      </c>
      <c r="S25" t="s">
        <v>6692</v>
      </c>
      <c r="T25" t="s">
        <v>7118</v>
      </c>
      <c r="AC25" t="s">
        <v>6928</v>
      </c>
      <c r="AD25" t="s">
        <v>6928</v>
      </c>
      <c r="AR25" t="s">
        <v>6928</v>
      </c>
      <c r="BD25" t="s">
        <v>6928</v>
      </c>
      <c r="BK25">
        <f t="shared" si="0"/>
        <v>2</v>
      </c>
      <c r="BL25">
        <f t="shared" si="1"/>
        <v>2</v>
      </c>
    </row>
    <row r="26" spans="1:64" x14ac:dyDescent="0.2">
      <c r="A26" t="s">
        <v>6686</v>
      </c>
      <c r="B26" t="str">
        <f>_xlfn.XLOOKUP(E26,'Title Abstract Screening'!G:G,'Title Abstract Screening'!B:B,"")</f>
        <v>usability evaluation unclear, read fulltext</v>
      </c>
      <c r="C26" t="str">
        <f>_xlfn.XLOOKUP(E26,'Full Text Screening'!E:E,'Full Text Screening'!C:C," ")</f>
        <v>Multimodal ML model trained on presence</v>
      </c>
      <c r="D26" t="s">
        <v>1660</v>
      </c>
      <c r="E26" s="6" t="s">
        <v>1661</v>
      </c>
      <c r="F26" t="s">
        <v>7014</v>
      </c>
      <c r="G26" s="11">
        <v>2022</v>
      </c>
      <c r="H26" s="11" t="s">
        <v>6928</v>
      </c>
      <c r="M26" s="11" t="s">
        <v>6928</v>
      </c>
      <c r="N26" t="s">
        <v>6802</v>
      </c>
      <c r="O26" t="s">
        <v>6801</v>
      </c>
      <c r="P26" t="s">
        <v>6803</v>
      </c>
      <c r="Q26">
        <v>36</v>
      </c>
      <c r="R26" t="s">
        <v>6979</v>
      </c>
      <c r="S26" t="s">
        <v>6692</v>
      </c>
      <c r="T26" t="s">
        <v>6833</v>
      </c>
      <c r="W26" t="s">
        <v>6928</v>
      </c>
      <c r="AT26" t="s">
        <v>6928</v>
      </c>
      <c r="AU26" t="s">
        <v>6928</v>
      </c>
      <c r="BC26" t="s">
        <v>6928</v>
      </c>
      <c r="BG26" t="s">
        <v>6928</v>
      </c>
      <c r="BK26">
        <f t="shared" si="0"/>
        <v>4</v>
      </c>
      <c r="BL26">
        <f t="shared" si="1"/>
        <v>1</v>
      </c>
    </row>
    <row r="27" spans="1:64" x14ac:dyDescent="0.2">
      <c r="A27" t="s">
        <v>6686</v>
      </c>
      <c r="B27" t="str">
        <f>_xlfn.XLOOKUP(E27,'Title Abstract Screening'!G:G,'Title Abstract Screening'!B:B,"")</f>
        <v>physiological factors</v>
      </c>
      <c r="C27" t="str">
        <f>_xlfn.XLOOKUP(E27,'Full Text Screening'!E:E,'Full Text Screening'!C:C," ")</f>
        <v>experimental classification of attention as usability factor</v>
      </c>
      <c r="D27" t="s">
        <v>5044</v>
      </c>
      <c r="E27" s="6" t="s">
        <v>5045</v>
      </c>
      <c r="F27" t="s">
        <v>7011</v>
      </c>
      <c r="G27" s="11">
        <v>2024</v>
      </c>
      <c r="H27" s="11" t="s">
        <v>6928</v>
      </c>
      <c r="M27" s="11" t="s">
        <v>6928</v>
      </c>
      <c r="N27" t="s">
        <v>6806</v>
      </c>
      <c r="O27" t="s">
        <v>6804</v>
      </c>
      <c r="P27" t="s">
        <v>7062</v>
      </c>
      <c r="Q27">
        <v>24</v>
      </c>
      <c r="S27" t="s">
        <v>6692</v>
      </c>
      <c r="T27" t="s">
        <v>6805</v>
      </c>
      <c r="AF27" t="s">
        <v>6928</v>
      </c>
      <c r="AY27" t="s">
        <v>6928</v>
      </c>
      <c r="BF27" t="s">
        <v>6928</v>
      </c>
      <c r="BK27">
        <f t="shared" si="0"/>
        <v>2</v>
      </c>
      <c r="BL27">
        <f t="shared" si="1"/>
        <v>1</v>
      </c>
    </row>
    <row r="28" spans="1:64" x14ac:dyDescent="0.2">
      <c r="A28" t="s">
        <v>6686</v>
      </c>
      <c r="B28" t="str">
        <f>_xlfn.XLOOKUP(E28,'Title Abstract Screening'!G:G,'Title Abstract Screening'!B:B,"")</f>
        <v>physiological factors</v>
      </c>
      <c r="C28" t="str">
        <f>_xlfn.XLOOKUP(E28,'Full Text Screening'!E:E,'Full Text Screening'!C:C," ")</f>
        <v>EEG and GSR for UX factors</v>
      </c>
      <c r="D28" t="s">
        <v>363</v>
      </c>
      <c r="E28" s="6" t="s">
        <v>364</v>
      </c>
      <c r="F28" t="s">
        <v>7009</v>
      </c>
      <c r="G28" s="11">
        <v>2023</v>
      </c>
      <c r="H28" s="11" t="s">
        <v>6928</v>
      </c>
      <c r="N28" t="s">
        <v>6809</v>
      </c>
      <c r="O28" t="s">
        <v>6951</v>
      </c>
      <c r="P28" t="s">
        <v>6810</v>
      </c>
      <c r="Q28">
        <v>11</v>
      </c>
      <c r="S28" t="s">
        <v>6692</v>
      </c>
      <c r="T28" t="s">
        <v>6807</v>
      </c>
      <c r="W28" t="s">
        <v>6928</v>
      </c>
      <c r="X28" t="s">
        <v>6928</v>
      </c>
      <c r="AA28" t="s">
        <v>6928</v>
      </c>
      <c r="AJ28" t="s">
        <v>6928</v>
      </c>
      <c r="AY28" t="s">
        <v>6928</v>
      </c>
      <c r="AZ28" t="s">
        <v>6928</v>
      </c>
      <c r="BK28">
        <f t="shared" si="0"/>
        <v>2</v>
      </c>
      <c r="BL28">
        <f t="shared" si="1"/>
        <v>4</v>
      </c>
    </row>
    <row r="29" spans="1:64" x14ac:dyDescent="0.2">
      <c r="A29" t="s">
        <v>6686</v>
      </c>
      <c r="B29" t="str">
        <f>_xlfn.XLOOKUP(E29,'Title Abstract Screening'!G:G,'Title Abstract Screening'!B:B,"")</f>
        <v>usability evaluation unclear, read fulltext</v>
      </c>
      <c r="C29" t="str">
        <f>_xlfn.XLOOKUP(E29,'Full Text Screening'!E:E,'Full Text Screening'!C:C," ")</f>
        <v>AR no usability, unrealistic object placement detection ML</v>
      </c>
      <c r="D29" t="s">
        <v>3997</v>
      </c>
      <c r="E29" s="6" t="s">
        <v>3998</v>
      </c>
      <c r="F29" t="s">
        <v>7020</v>
      </c>
      <c r="G29" s="11">
        <v>2023</v>
      </c>
      <c r="J29" s="11" t="s">
        <v>6928</v>
      </c>
      <c r="M29" s="11" t="s">
        <v>6928</v>
      </c>
      <c r="N29" t="s">
        <v>6839</v>
      </c>
      <c r="O29" t="s">
        <v>6812</v>
      </c>
      <c r="P29" t="s">
        <v>6794</v>
      </c>
      <c r="Q29" t="s">
        <v>6920</v>
      </c>
      <c r="R29" t="s">
        <v>6914</v>
      </c>
      <c r="S29" t="s">
        <v>6697</v>
      </c>
      <c r="T29" t="s">
        <v>7119</v>
      </c>
      <c r="AM29" t="s">
        <v>6928</v>
      </c>
      <c r="AQ29" t="s">
        <v>6928</v>
      </c>
      <c r="BK29">
        <f t="shared" si="0"/>
        <v>1</v>
      </c>
      <c r="BL29">
        <f t="shared" si="1"/>
        <v>1</v>
      </c>
    </row>
    <row r="30" spans="1:64" x14ac:dyDescent="0.2">
      <c r="A30" t="s">
        <v>6686</v>
      </c>
      <c r="B30" t="str">
        <f>_xlfn.XLOOKUP(E30,'Title Abstract Screening'!G:G,'Title Abstract Screening'!B:B,"")</f>
        <v>automation unclear, read fulltext</v>
      </c>
      <c r="C30" t="str">
        <f>_xlfn.XLOOKUP(E30,'Full Text Screening'!E:E,'Full Text Screening'!C:C," ")</f>
        <v>Many ideas and analyses based on machine learning, but no properly documented user study</v>
      </c>
      <c r="D30" t="s">
        <v>5558</v>
      </c>
      <c r="E30" s="6" t="s">
        <v>5559</v>
      </c>
      <c r="F30" t="s">
        <v>7026</v>
      </c>
      <c r="G30" s="11">
        <v>2024</v>
      </c>
      <c r="M30" s="11" t="s">
        <v>6928</v>
      </c>
      <c r="N30" t="s">
        <v>7115</v>
      </c>
      <c r="O30" t="s">
        <v>6923</v>
      </c>
      <c r="P30" t="s">
        <v>7062</v>
      </c>
      <c r="Q30" t="s">
        <v>6920</v>
      </c>
      <c r="S30" t="s">
        <v>6816</v>
      </c>
      <c r="T30" t="s">
        <v>6978</v>
      </c>
      <c r="AH30" t="s">
        <v>6928</v>
      </c>
      <c r="AN30" t="s">
        <v>6928</v>
      </c>
      <c r="AX30" t="s">
        <v>6928</v>
      </c>
      <c r="BC30" t="s">
        <v>6928</v>
      </c>
      <c r="BK30">
        <f t="shared" si="0"/>
        <v>2</v>
      </c>
      <c r="BL30">
        <f t="shared" si="1"/>
        <v>2</v>
      </c>
    </row>
    <row r="31" spans="1:64" x14ac:dyDescent="0.2">
      <c r="A31" t="s">
        <v>6686</v>
      </c>
      <c r="B31" t="str">
        <f>_xlfn.XLOOKUP(E31,'Title Abstract Screening'!G:G,'Title Abstract Screening'!B:B,"")</f>
        <v>automation unclear, read fulltext</v>
      </c>
      <c r="C31" t="str">
        <f>_xlfn.XLOOKUP(E31,'Full Text Screening'!E:E,'Full Text Screening'!C:C," ")</f>
        <v>external AR app for evaluators</v>
      </c>
      <c r="D31" t="s">
        <v>5449</v>
      </c>
      <c r="E31" s="6" t="s">
        <v>5450</v>
      </c>
      <c r="F31" t="s">
        <v>7027</v>
      </c>
      <c r="G31" s="11">
        <v>2022</v>
      </c>
      <c r="H31" s="11" t="s">
        <v>6928</v>
      </c>
      <c r="N31" t="s">
        <v>6986</v>
      </c>
      <c r="O31" t="s">
        <v>6822</v>
      </c>
      <c r="P31" t="s">
        <v>7062</v>
      </c>
      <c r="Q31" t="s">
        <v>6920</v>
      </c>
      <c r="S31" t="s">
        <v>6697</v>
      </c>
      <c r="T31" t="s">
        <v>6823</v>
      </c>
      <c r="V31" t="s">
        <v>6928</v>
      </c>
      <c r="AA31" t="s">
        <v>6928</v>
      </c>
      <c r="AC31" t="s">
        <v>6928</v>
      </c>
      <c r="AR31" t="s">
        <v>6928</v>
      </c>
      <c r="AV31" t="s">
        <v>6928</v>
      </c>
      <c r="AX31" t="s">
        <v>6928</v>
      </c>
      <c r="BC31" t="s">
        <v>6928</v>
      </c>
      <c r="BK31">
        <f t="shared" si="0"/>
        <v>4</v>
      </c>
      <c r="BL31">
        <f t="shared" si="1"/>
        <v>3</v>
      </c>
    </row>
    <row r="32" spans="1:64" x14ac:dyDescent="0.2">
      <c r="A32" t="s">
        <v>6686</v>
      </c>
      <c r="B32" t="str">
        <f>_xlfn.XLOOKUP(E32,'Title Abstract Screening'!G:G,'Title Abstract Screening'!B:B,"")</f>
        <v>usability evaluation unclear, read fulltext</v>
      </c>
      <c r="C32" t="str">
        <f>_xlfn.XLOOKUP(E32,'Full Text Screening'!E:E,'Full Text Screening'!C:C," ")</f>
        <v>pupil, eye, head tracking</v>
      </c>
      <c r="D32" t="s">
        <v>2667</v>
      </c>
      <c r="E32" s="6" t="s">
        <v>2668</v>
      </c>
      <c r="F32" t="s">
        <v>7029</v>
      </c>
      <c r="G32" s="11">
        <v>2019</v>
      </c>
      <c r="H32" s="11" t="s">
        <v>6928</v>
      </c>
      <c r="I32" s="11" t="s">
        <v>6928</v>
      </c>
      <c r="N32" t="s">
        <v>6827</v>
      </c>
      <c r="O32" t="s">
        <v>6828</v>
      </c>
      <c r="P32" t="s">
        <v>7062</v>
      </c>
      <c r="Q32" t="s">
        <v>6919</v>
      </c>
      <c r="S32" t="s">
        <v>6692</v>
      </c>
      <c r="T32" t="s">
        <v>6969</v>
      </c>
      <c r="X32" t="s">
        <v>6928</v>
      </c>
      <c r="AC32" t="s">
        <v>6928</v>
      </c>
      <c r="AU32" t="s">
        <v>6928</v>
      </c>
      <c r="BF32" t="s">
        <v>6928</v>
      </c>
      <c r="BH32" t="s">
        <v>6928</v>
      </c>
      <c r="BK32">
        <f t="shared" si="0"/>
        <v>3</v>
      </c>
      <c r="BL32">
        <f t="shared" si="1"/>
        <v>2</v>
      </c>
    </row>
    <row r="33" spans="1:64" x14ac:dyDescent="0.2">
      <c r="A33" t="s">
        <v>6686</v>
      </c>
      <c r="B33" t="str">
        <f>_xlfn.XLOOKUP(E33,'Title Abstract Screening'!G:G,'Title Abstract Screening'!B:B,"")</f>
        <v>usability evaluation unclear, read fulltext</v>
      </c>
      <c r="C33" t="str">
        <f>_xlfn.XLOOKUP(E33,'Full Text Screening'!E:E,'Full Text Screening'!C:C," ")</f>
        <v>heart rate and scr</v>
      </c>
      <c r="D33" t="s">
        <v>6297</v>
      </c>
      <c r="E33" s="6" t="s">
        <v>6298</v>
      </c>
      <c r="F33" t="s">
        <v>7023</v>
      </c>
      <c r="G33" s="11">
        <v>2024</v>
      </c>
      <c r="H33" s="11" t="s">
        <v>6928</v>
      </c>
      <c r="N33" t="s">
        <v>6832</v>
      </c>
      <c r="O33" t="s">
        <v>6829</v>
      </c>
      <c r="P33" t="s">
        <v>7062</v>
      </c>
      <c r="Q33">
        <v>17</v>
      </c>
      <c r="S33" t="s">
        <v>6692</v>
      </c>
      <c r="T33" t="s">
        <v>6830</v>
      </c>
      <c r="AO33" t="s">
        <v>6928</v>
      </c>
      <c r="AR33" t="s">
        <v>6928</v>
      </c>
      <c r="AZ33" t="s">
        <v>6928</v>
      </c>
      <c r="BK33">
        <f t="shared" si="0"/>
        <v>2</v>
      </c>
      <c r="BL33">
        <f t="shared" si="1"/>
        <v>1</v>
      </c>
    </row>
    <row r="34" spans="1:64" x14ac:dyDescent="0.2">
      <c r="A34" t="s">
        <v>6686</v>
      </c>
      <c r="B34" t="str">
        <f>_xlfn.XLOOKUP(E34,'Title Abstract Screening'!G:G,'Title Abstract Screening'!B:B,"")</f>
        <v>sentiment</v>
      </c>
      <c r="C34" t="str">
        <f>_xlfn.XLOOKUP(E34,'Full Text Screening'!E:E,'Full Text Screening'!C:C," ")</f>
        <v>A foundation for “Multimodal Behavioral Cues Analysis of the Sense of Presence and Social Presence During a Social Interaction With a Virtual Patient,” which uses more algorithms</v>
      </c>
      <c r="D34" t="s">
        <v>2286</v>
      </c>
      <c r="E34" s="6" t="s">
        <v>2287</v>
      </c>
      <c r="F34" t="s">
        <v>7013</v>
      </c>
      <c r="G34" s="11">
        <v>2018</v>
      </c>
      <c r="H34" s="11" t="s">
        <v>6928</v>
      </c>
      <c r="M34" s="11" t="s">
        <v>6928</v>
      </c>
      <c r="N34" t="s">
        <v>6835</v>
      </c>
      <c r="O34" t="s">
        <v>6836</v>
      </c>
      <c r="P34" t="s">
        <v>7062</v>
      </c>
      <c r="Q34">
        <v>38</v>
      </c>
      <c r="R34" t="s">
        <v>7117</v>
      </c>
      <c r="S34" t="s">
        <v>6692</v>
      </c>
      <c r="T34" t="s">
        <v>6834</v>
      </c>
      <c r="W34" t="s">
        <v>6928</v>
      </c>
      <c r="AT34" t="s">
        <v>6928</v>
      </c>
      <c r="AU34" t="s">
        <v>6928</v>
      </c>
      <c r="BC34" t="s">
        <v>6928</v>
      </c>
      <c r="BG34" t="s">
        <v>6928</v>
      </c>
      <c r="BK34">
        <f t="shared" si="0"/>
        <v>4</v>
      </c>
      <c r="BL34">
        <f t="shared" si="1"/>
        <v>1</v>
      </c>
    </row>
    <row r="35" spans="1:64" x14ac:dyDescent="0.2">
      <c r="A35" t="s">
        <v>6686</v>
      </c>
      <c r="B35" t="str">
        <f>_xlfn.XLOOKUP(E35,'Title Abstract Screening'!G:G,'Title Abstract Screening'!B:B,"")</f>
        <v>agent based</v>
      </c>
      <c r="C35" t="str">
        <f>_xlfn.XLOOKUP(E35,'Full Text Screening'!E:E,'Full Text Screening'!C:C," ")</f>
        <v>technique proposal UX test agents als phd topic</v>
      </c>
      <c r="D35" t="s">
        <v>5252</v>
      </c>
      <c r="E35" s="6" t="s">
        <v>5253</v>
      </c>
      <c r="F35" t="s">
        <v>7022</v>
      </c>
      <c r="G35" s="11">
        <v>2020</v>
      </c>
      <c r="K35" s="11" t="s">
        <v>6928</v>
      </c>
      <c r="N35" t="s">
        <v>7100</v>
      </c>
      <c r="O35" t="s">
        <v>6924</v>
      </c>
      <c r="P35" t="s">
        <v>7062</v>
      </c>
      <c r="Q35">
        <v>0</v>
      </c>
      <c r="S35" t="s">
        <v>6714</v>
      </c>
      <c r="T35" t="s">
        <v>6971</v>
      </c>
      <c r="U35" t="s">
        <v>6928</v>
      </c>
      <c r="AA35" t="s">
        <v>6928</v>
      </c>
      <c r="AQ35" t="s">
        <v>6928</v>
      </c>
      <c r="BK35">
        <f t="shared" si="0"/>
        <v>1</v>
      </c>
      <c r="BL35">
        <f t="shared" si="1"/>
        <v>2</v>
      </c>
    </row>
    <row r="36" spans="1:64" x14ac:dyDescent="0.2">
      <c r="A36" t="s">
        <v>6686</v>
      </c>
      <c r="B36" t="str">
        <f>_xlfn.XLOOKUP(E36,'Title Abstract Screening'!G:G,'Title Abstract Screening'!B:B,"")</f>
        <v>usability evaluation unclear, read fulltext</v>
      </c>
      <c r="C36" t="str">
        <f>_xlfn.XLOOKUP(E36,'Full Text Screening'!E:E,'Full Text Screening'!C:C," ")</f>
        <v>Ergonomics as usability factor in AR</v>
      </c>
      <c r="D36" t="s">
        <v>4038</v>
      </c>
      <c r="E36" s="6" t="s">
        <v>4039</v>
      </c>
      <c r="F36" t="s">
        <v>6990</v>
      </c>
      <c r="G36" s="11">
        <v>2023</v>
      </c>
      <c r="H36" s="11" t="s">
        <v>6928</v>
      </c>
      <c r="N36" t="s">
        <v>6977</v>
      </c>
      <c r="O36" t="s">
        <v>6841</v>
      </c>
      <c r="P36" t="s">
        <v>7108</v>
      </c>
      <c r="Q36">
        <v>12</v>
      </c>
      <c r="S36" t="s">
        <v>6697</v>
      </c>
      <c r="T36" t="s">
        <v>6840</v>
      </c>
      <c r="AP36" t="s">
        <v>6928</v>
      </c>
      <c r="BJ36" t="s">
        <v>6928</v>
      </c>
      <c r="BK36">
        <f t="shared" si="0"/>
        <v>1</v>
      </c>
      <c r="BL36">
        <f t="shared" si="1"/>
        <v>1</v>
      </c>
    </row>
    <row r="37" spans="1:64" x14ac:dyDescent="0.2">
      <c r="A37" t="s">
        <v>6686</v>
      </c>
      <c r="B37" t="str">
        <f>_xlfn.XLOOKUP(E37,'Title Abstract Screening'!G:G,'Title Abstract Screening'!B:B,"")</f>
        <v>objective features</v>
      </c>
      <c r="C37" t="str">
        <f>_xlfn.XLOOKUP(E37,'Full Text Screening'!E:E,'Full Text Screening'!C:C," ")</f>
        <v>Physiological and Movement measures, very good introduction and related work</v>
      </c>
      <c r="D37" t="s">
        <v>1539</v>
      </c>
      <c r="E37" s="6" t="s">
        <v>1540</v>
      </c>
      <c r="F37" t="s">
        <v>7006</v>
      </c>
      <c r="G37" s="11">
        <v>2022</v>
      </c>
      <c r="H37" s="11" t="s">
        <v>6928</v>
      </c>
      <c r="M37" s="11" t="s">
        <v>6928</v>
      </c>
      <c r="N37" t="s">
        <v>6845</v>
      </c>
      <c r="O37" t="s">
        <v>6847</v>
      </c>
      <c r="P37" t="s">
        <v>6844</v>
      </c>
      <c r="Q37">
        <v>14</v>
      </c>
      <c r="R37">
        <v>117</v>
      </c>
      <c r="S37" t="s">
        <v>6692</v>
      </c>
      <c r="T37" t="s">
        <v>6846</v>
      </c>
      <c r="U37" t="s">
        <v>6928</v>
      </c>
      <c r="AT37" t="s">
        <v>6928</v>
      </c>
      <c r="AU37" t="s">
        <v>6928</v>
      </c>
      <c r="AY37" t="s">
        <v>6928</v>
      </c>
      <c r="BC37" t="s">
        <v>6928</v>
      </c>
      <c r="BK37">
        <f t="shared" si="0"/>
        <v>4</v>
      </c>
      <c r="BL37">
        <f t="shared" si="1"/>
        <v>1</v>
      </c>
    </row>
    <row r="38" spans="1:64" x14ac:dyDescent="0.2">
      <c r="A38" t="s">
        <v>6686</v>
      </c>
      <c r="B38" t="str">
        <f>_xlfn.XLOOKUP(E38,'Title Abstract Screening'!G:G,'Title Abstract Screening'!B:B,"")</f>
        <v>Movement</v>
      </c>
      <c r="C38" t="str">
        <f>_xlfn.XLOOKUP(E38,'Full Text Screening'!E:E,'Full Text Screening'!C:C," ")</f>
        <v xml:space="preserve"> </v>
      </c>
      <c r="D38" t="s">
        <v>5593</v>
      </c>
      <c r="E38" s="6" t="s">
        <v>5594</v>
      </c>
      <c r="F38" t="s">
        <v>6992</v>
      </c>
      <c r="G38" s="11">
        <v>2022</v>
      </c>
      <c r="H38" s="11" t="s">
        <v>6928</v>
      </c>
      <c r="N38" t="s">
        <v>6852</v>
      </c>
      <c r="O38" t="s">
        <v>6851</v>
      </c>
      <c r="P38" t="s">
        <v>6850</v>
      </c>
      <c r="Q38">
        <v>4</v>
      </c>
      <c r="S38" t="s">
        <v>6692</v>
      </c>
      <c r="T38" t="s">
        <v>6849</v>
      </c>
      <c r="U38" t="s">
        <v>6928</v>
      </c>
      <c r="AP38" t="s">
        <v>6928</v>
      </c>
      <c r="AT38" t="s">
        <v>6928</v>
      </c>
      <c r="AU38" t="s">
        <v>6928</v>
      </c>
      <c r="BK38">
        <f t="shared" si="0"/>
        <v>2</v>
      </c>
      <c r="BL38">
        <f t="shared" si="1"/>
        <v>2</v>
      </c>
    </row>
    <row r="39" spans="1:64" x14ac:dyDescent="0.2">
      <c r="A39" t="s">
        <v>6686</v>
      </c>
      <c r="B39" t="str">
        <f>_xlfn.XLOOKUP(E39,'Title Abstract Screening'!G:G,'Title Abstract Screening'!B:B,"")</f>
        <v>automation unclear, read fulltext</v>
      </c>
      <c r="C39" t="str">
        <f>_xlfn.XLOOKUP(E39,'Full Text Screening'!E:E,'Full Text Screening'!C:C," ")</f>
        <v>Custom Build Glove for MR but Displayed on see through monitor</v>
      </c>
      <c r="D39" t="s">
        <v>5032</v>
      </c>
      <c r="E39" s="6" t="s">
        <v>5033</v>
      </c>
      <c r="F39" t="s">
        <v>7031</v>
      </c>
      <c r="G39" s="11">
        <v>2008</v>
      </c>
      <c r="H39" s="11" t="s">
        <v>6928</v>
      </c>
      <c r="N39" t="s">
        <v>6855</v>
      </c>
      <c r="O39" t="s">
        <v>6975</v>
      </c>
      <c r="P39" t="s">
        <v>7062</v>
      </c>
      <c r="Q39" t="s">
        <v>6919</v>
      </c>
      <c r="S39" t="s">
        <v>6854</v>
      </c>
      <c r="T39" t="s">
        <v>6857</v>
      </c>
      <c r="U39" t="s">
        <v>6928</v>
      </c>
      <c r="AP39" t="s">
        <v>6928</v>
      </c>
      <c r="AT39" t="s">
        <v>6928</v>
      </c>
      <c r="AU39" t="s">
        <v>6928</v>
      </c>
      <c r="BA39" t="s">
        <v>6928</v>
      </c>
      <c r="BJ39" t="s">
        <v>6928</v>
      </c>
      <c r="BK39">
        <f t="shared" si="0"/>
        <v>4</v>
      </c>
      <c r="BL39">
        <f t="shared" si="1"/>
        <v>2</v>
      </c>
    </row>
    <row r="40" spans="1:64" x14ac:dyDescent="0.2">
      <c r="A40" t="s">
        <v>6686</v>
      </c>
      <c r="B40" t="str">
        <f>_xlfn.XLOOKUP(E40,'Title Abstract Screening'!G:G,'Title Abstract Screening'!B:B,"")</f>
        <v>usability evaluation unclear, read fulltext</v>
      </c>
      <c r="C40" t="str">
        <f>_xlfn.XLOOKUP(E40,'Full Text Screening'!E:E,'Full Text Screening'!C:C," ")</f>
        <v>Not usability, but user experience, influenced by crowd density</v>
      </c>
      <c r="D40" t="s">
        <v>4084</v>
      </c>
      <c r="E40" s="6" t="s">
        <v>4085</v>
      </c>
      <c r="F40" t="s">
        <v>6996</v>
      </c>
      <c r="G40" s="11">
        <v>2019</v>
      </c>
      <c r="H40" s="11" t="s">
        <v>6928</v>
      </c>
      <c r="I40" s="11" t="s">
        <v>6928</v>
      </c>
      <c r="N40" t="s">
        <v>6860</v>
      </c>
      <c r="O40" t="s">
        <v>6861</v>
      </c>
      <c r="P40" t="s">
        <v>6859</v>
      </c>
      <c r="Q40">
        <v>25</v>
      </c>
      <c r="S40" t="s">
        <v>6692</v>
      </c>
      <c r="T40" t="s">
        <v>6858</v>
      </c>
      <c r="V40" t="s">
        <v>6928</v>
      </c>
      <c r="BH40" t="s">
        <v>6928</v>
      </c>
      <c r="BK40">
        <f t="shared" si="0"/>
        <v>1</v>
      </c>
      <c r="BL40">
        <f t="shared" si="1"/>
        <v>1</v>
      </c>
    </row>
    <row r="41" spans="1:64" x14ac:dyDescent="0.2">
      <c r="A41" t="s">
        <v>6686</v>
      </c>
      <c r="B41" t="str">
        <f>_xlfn.XLOOKUP(E41,'Title Abstract Screening'!G:G,'Title Abstract Screening'!B:B,"")</f>
        <v>usability evaluation unclear, read fulltext</v>
      </c>
      <c r="C41" t="str">
        <f>_xlfn.XLOOKUP(E41,'Full Text Screening'!E:E,'Full Text Screening'!C:C," ")</f>
        <v xml:space="preserve"> </v>
      </c>
      <c r="D41" t="s">
        <v>650</v>
      </c>
      <c r="E41" s="6" t="s">
        <v>651</v>
      </c>
      <c r="F41" t="s">
        <v>7005</v>
      </c>
      <c r="G41" s="11">
        <v>2024</v>
      </c>
      <c r="H41" s="11" t="s">
        <v>6928</v>
      </c>
      <c r="M41" s="11" t="s">
        <v>6928</v>
      </c>
      <c r="N41" t="s">
        <v>6862</v>
      </c>
      <c r="O41" t="s">
        <v>6863</v>
      </c>
      <c r="P41" t="s">
        <v>7062</v>
      </c>
      <c r="Q41">
        <v>6</v>
      </c>
      <c r="S41" t="s">
        <v>6692</v>
      </c>
      <c r="T41" t="s">
        <v>6732</v>
      </c>
      <c r="AD41" t="s">
        <v>6928</v>
      </c>
      <c r="AR41" t="s">
        <v>6928</v>
      </c>
      <c r="BK41">
        <f t="shared" si="0"/>
        <v>1</v>
      </c>
      <c r="BL41">
        <f t="shared" si="1"/>
        <v>1</v>
      </c>
    </row>
    <row r="42" spans="1:64" x14ac:dyDescent="0.2">
      <c r="A42" t="s">
        <v>6686</v>
      </c>
      <c r="B42" t="str">
        <f>_xlfn.XLOOKUP(E42,'Title Abstract Screening'!G:G,'Title Abstract Screening'!B:B,"")</f>
        <v>eye tracking</v>
      </c>
      <c r="C42" t="str">
        <f>_xlfn.XLOOKUP(E42,'Full Text Screening'!E:E,'Full Text Screening'!C:C," ")</f>
        <v>Much of it is AR-specific, but some aspects can be applied to VR; the VR portion is automated, while the rest focuses primarily on the AR concept</v>
      </c>
      <c r="D42" t="s">
        <v>927</v>
      </c>
      <c r="E42" s="6" t="s">
        <v>928</v>
      </c>
      <c r="F42" t="s">
        <v>7015</v>
      </c>
      <c r="G42" s="11">
        <v>2023</v>
      </c>
      <c r="H42" s="11" t="s">
        <v>6928</v>
      </c>
      <c r="I42" s="11" t="s">
        <v>6928</v>
      </c>
      <c r="N42" t="s">
        <v>6864</v>
      </c>
      <c r="O42" t="s">
        <v>6866</v>
      </c>
      <c r="P42" t="s">
        <v>7062</v>
      </c>
      <c r="Q42">
        <v>10</v>
      </c>
      <c r="S42" t="s">
        <v>6697</v>
      </c>
      <c r="T42" t="s">
        <v>6865</v>
      </c>
      <c r="AL42" t="s">
        <v>6928</v>
      </c>
      <c r="BE42" t="s">
        <v>6928</v>
      </c>
      <c r="BK42">
        <f t="shared" si="0"/>
        <v>1</v>
      </c>
      <c r="BL42">
        <f t="shared" si="1"/>
        <v>1</v>
      </c>
    </row>
    <row r="43" spans="1:64" x14ac:dyDescent="0.2">
      <c r="A43" t="s">
        <v>6686</v>
      </c>
      <c r="B43" t="str">
        <f>_xlfn.XLOOKUP(E43,'Title Abstract Screening'!G:G,'Title Abstract Screening'!B:B,"")</f>
        <v>physiological factors</v>
      </c>
      <c r="C43" t="str">
        <f>_xlfn.XLOOKUP(E43,'Full Text Screening'!E:E,'Full Text Screening'!C:C," ")</f>
        <v>MR Driving simulator</v>
      </c>
      <c r="D43" t="s">
        <v>4446</v>
      </c>
      <c r="E43" s="6" t="s">
        <v>4447</v>
      </c>
      <c r="F43" t="s">
        <v>7008</v>
      </c>
      <c r="G43" s="11">
        <v>2023</v>
      </c>
      <c r="H43" s="11" t="s">
        <v>6928</v>
      </c>
      <c r="N43" t="s">
        <v>6869</v>
      </c>
      <c r="O43" t="s">
        <v>6867</v>
      </c>
      <c r="P43" t="s">
        <v>6870</v>
      </c>
      <c r="Q43">
        <v>23</v>
      </c>
      <c r="S43" t="s">
        <v>6854</v>
      </c>
      <c r="T43" t="s">
        <v>6868</v>
      </c>
      <c r="AO43" t="s">
        <v>6928</v>
      </c>
      <c r="AR43" t="s">
        <v>6928</v>
      </c>
      <c r="AZ43" t="s">
        <v>6928</v>
      </c>
      <c r="BB43" t="s">
        <v>6928</v>
      </c>
      <c r="BK43">
        <f t="shared" si="0"/>
        <v>3</v>
      </c>
      <c r="BL43">
        <f t="shared" si="1"/>
        <v>1</v>
      </c>
    </row>
    <row r="44" spans="1:64" x14ac:dyDescent="0.2">
      <c r="U44" t="str">
        <f t="shared" ref="U44:AP44" si="2">MID(U1,11,LEN(U1))</f>
        <v>general_usability</v>
      </c>
      <c r="V44" t="str">
        <f t="shared" si="2"/>
        <v>generalUX</v>
      </c>
      <c r="W44" t="str">
        <f t="shared" si="2"/>
        <v>presence</v>
      </c>
      <c r="X44" t="str">
        <f t="shared" si="2"/>
        <v>flow</v>
      </c>
      <c r="Y44" t="str">
        <f t="shared" si="2"/>
        <v>interactability</v>
      </c>
      <c r="Z44" t="str">
        <f t="shared" si="2"/>
        <v>learnability</v>
      </c>
      <c r="AA44" t="str">
        <f t="shared" si="2"/>
        <v>emotions</v>
      </c>
      <c r="AB44" t="str">
        <f t="shared" si="2"/>
        <v>usability_smells</v>
      </c>
      <c r="AC44" t="str">
        <f t="shared" si="2"/>
        <v>stress</v>
      </c>
      <c r="AD44" t="str">
        <f t="shared" si="2"/>
        <v>anxiety</v>
      </c>
      <c r="AE44" t="str">
        <f t="shared" si="2"/>
        <v>ease_of_use</v>
      </c>
      <c r="AF44" t="str">
        <f t="shared" si="2"/>
        <v>attention</v>
      </c>
      <c r="AG44" t="str">
        <f t="shared" si="2"/>
        <v>UI</v>
      </c>
      <c r="AH44" t="str">
        <f t="shared" si="2"/>
        <v>behaviour</v>
      </c>
      <c r="AI44" t="str">
        <f t="shared" si="2"/>
        <v>comfort</v>
      </c>
      <c r="AJ44" t="str">
        <f t="shared" si="2"/>
        <v>cognitive_load</v>
      </c>
      <c r="AK44" t="str">
        <f t="shared" si="2"/>
        <v>engagement</v>
      </c>
      <c r="AL44" t="str">
        <f t="shared" si="2"/>
        <v>area_of_interest</v>
      </c>
      <c r="AM44" t="str">
        <f t="shared" si="2"/>
        <v>realism</v>
      </c>
      <c r="AN44" t="str">
        <f t="shared" si="2"/>
        <v>sentiment</v>
      </c>
      <c r="AO44" t="str">
        <f t="shared" si="2"/>
        <v>physiological_arousal</v>
      </c>
      <c r="AP44" t="str">
        <f t="shared" si="2"/>
        <v>physical_effort</v>
      </c>
      <c r="AQ44" t="str">
        <f t="shared" ref="AQ44:BJ44" si="3">MID(AQ1,13,LEN(AQ1))</f>
        <v>none</v>
      </c>
      <c r="AR44" t="str">
        <f t="shared" si="3"/>
        <v>heart_rate</v>
      </c>
      <c r="AS44" t="str">
        <f t="shared" si="3"/>
        <v>decision_time</v>
      </c>
      <c r="AT44" t="str">
        <f t="shared" si="3"/>
        <v>hand_movement</v>
      </c>
      <c r="AU44" t="str">
        <f t="shared" si="3"/>
        <v>head_movement</v>
      </c>
      <c r="AV44" t="str">
        <f t="shared" si="3"/>
        <v>facial_expression</v>
      </c>
      <c r="AW44" t="str">
        <f t="shared" si="3"/>
        <v>scene_capture</v>
      </c>
      <c r="AX44" t="str">
        <f t="shared" si="3"/>
        <v>events</v>
      </c>
      <c r="AY44" t="str">
        <f t="shared" si="3"/>
        <v>EEG</v>
      </c>
      <c r="AZ44" t="str">
        <f t="shared" si="3"/>
        <v>EDA</v>
      </c>
      <c r="BA44" t="str">
        <f t="shared" si="3"/>
        <v>EMG</v>
      </c>
      <c r="BB44" t="str">
        <f t="shared" si="3"/>
        <v>body_temperature</v>
      </c>
      <c r="BC44" t="str">
        <f t="shared" si="3"/>
        <v>speech</v>
      </c>
      <c r="BD44" t="str">
        <f t="shared" si="3"/>
        <v>walking_speed</v>
      </c>
      <c r="BE44" t="str">
        <f t="shared" si="3"/>
        <v>gaze</v>
      </c>
      <c r="BF44" t="str">
        <f t="shared" si="3"/>
        <v>pupil</v>
      </c>
      <c r="BG44" t="str">
        <f t="shared" si="3"/>
        <v>body_tracking</v>
      </c>
      <c r="BH44" t="str">
        <f t="shared" si="3"/>
        <v>movement</v>
      </c>
      <c r="BI44" t="str">
        <f t="shared" si="3"/>
        <v>respiration</v>
      </c>
      <c r="BJ44" t="str">
        <f t="shared" si="3"/>
        <v>pressure_load</v>
      </c>
    </row>
    <row r="45" spans="1:64" x14ac:dyDescent="0.2">
      <c r="U45">
        <f t="shared" ref="U45:BJ45" si="4">COUNTIF(U2:U43,"x")</f>
        <v>6</v>
      </c>
      <c r="V45">
        <f t="shared" si="4"/>
        <v>5</v>
      </c>
      <c r="W45">
        <f t="shared" si="4"/>
        <v>7</v>
      </c>
      <c r="X45">
        <f t="shared" si="4"/>
        <v>3</v>
      </c>
      <c r="Y45">
        <f t="shared" si="4"/>
        <v>1</v>
      </c>
      <c r="Z45">
        <f t="shared" si="4"/>
        <v>4</v>
      </c>
      <c r="AA45">
        <f t="shared" si="4"/>
        <v>5</v>
      </c>
      <c r="AB45">
        <f t="shared" si="4"/>
        <v>2</v>
      </c>
      <c r="AC45">
        <f t="shared" si="4"/>
        <v>5</v>
      </c>
      <c r="AD45">
        <f t="shared" si="4"/>
        <v>2</v>
      </c>
      <c r="AE45">
        <f t="shared" si="4"/>
        <v>1</v>
      </c>
      <c r="AF45">
        <f t="shared" si="4"/>
        <v>6</v>
      </c>
      <c r="AG45">
        <f t="shared" si="4"/>
        <v>2</v>
      </c>
      <c r="AH45">
        <f t="shared" si="4"/>
        <v>3</v>
      </c>
      <c r="AI45">
        <f t="shared" si="4"/>
        <v>1</v>
      </c>
      <c r="AJ45">
        <f t="shared" si="4"/>
        <v>2</v>
      </c>
      <c r="AK45">
        <f t="shared" si="4"/>
        <v>2</v>
      </c>
      <c r="AL45">
        <f t="shared" si="4"/>
        <v>3</v>
      </c>
      <c r="AM45">
        <f t="shared" si="4"/>
        <v>2</v>
      </c>
      <c r="AN45">
        <f t="shared" si="4"/>
        <v>1</v>
      </c>
      <c r="AO45">
        <f t="shared" si="4"/>
        <v>2</v>
      </c>
      <c r="AP45">
        <f t="shared" si="4"/>
        <v>4</v>
      </c>
      <c r="AQ45">
        <f t="shared" si="4"/>
        <v>3</v>
      </c>
      <c r="AR45">
        <f t="shared" si="4"/>
        <v>12</v>
      </c>
      <c r="AS45">
        <f t="shared" si="4"/>
        <v>1</v>
      </c>
      <c r="AT45">
        <f t="shared" si="4"/>
        <v>7</v>
      </c>
      <c r="AU45">
        <f t="shared" si="4"/>
        <v>13</v>
      </c>
      <c r="AV45">
        <f t="shared" si="4"/>
        <v>3</v>
      </c>
      <c r="AW45">
        <f t="shared" si="4"/>
        <v>1</v>
      </c>
      <c r="AX45">
        <f t="shared" si="4"/>
        <v>6</v>
      </c>
      <c r="AY45">
        <f t="shared" si="4"/>
        <v>6</v>
      </c>
      <c r="AZ45">
        <f t="shared" si="4"/>
        <v>5</v>
      </c>
      <c r="BA45">
        <f t="shared" si="4"/>
        <v>2</v>
      </c>
      <c r="BB45">
        <f t="shared" si="4"/>
        <v>1</v>
      </c>
      <c r="BC45">
        <f t="shared" si="4"/>
        <v>5</v>
      </c>
      <c r="BD45">
        <f t="shared" si="4"/>
        <v>1</v>
      </c>
      <c r="BE45">
        <f t="shared" si="4"/>
        <v>7</v>
      </c>
      <c r="BF45">
        <f t="shared" si="4"/>
        <v>2</v>
      </c>
      <c r="BG45">
        <f t="shared" si="4"/>
        <v>3</v>
      </c>
      <c r="BH45">
        <f t="shared" si="4"/>
        <v>2</v>
      </c>
      <c r="BI45">
        <f t="shared" si="4"/>
        <v>1</v>
      </c>
      <c r="BJ45">
        <f t="shared" si="4"/>
        <v>2</v>
      </c>
    </row>
  </sheetData>
  <autoFilter ref="A1:BL45" xr:uid="{70A20B46-1224-634D-B676-35F272648528}">
    <sortState xmlns:xlrd2="http://schemas.microsoft.com/office/spreadsheetml/2017/richdata2" ref="A2:BL45">
      <sortCondition ref="E1:E45"/>
    </sortState>
  </autoFilter>
  <dataConsolidate function="count">
    <dataRefs count="1">
      <dataRef ref="F1:F1048576" sheet="Review - Final Extraction"/>
    </dataRefs>
  </dataConsolidate>
  <pageMargins left="0.7" right="0.7" top="0.78740157499999996" bottom="0.78740157499999996" header="0.3" footer="0.3"/>
  <pageSetup paperSize="9"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A0480-34E1-B145-AC8F-016A49E71E91}">
  <dimension ref="A1:BJ43"/>
  <sheetViews>
    <sheetView tabSelected="1" workbookViewId="0">
      <selection activeCell="F1" sqref="F1:F1048576"/>
    </sheetView>
  </sheetViews>
  <sheetFormatPr baseColWidth="10" defaultRowHeight="16" x14ac:dyDescent="0.2"/>
  <sheetData>
    <row r="1" spans="1:62" x14ac:dyDescent="0.2">
      <c r="A1" s="6" t="s">
        <v>6677</v>
      </c>
      <c r="B1" s="6" t="s">
        <v>7057</v>
      </c>
      <c r="C1" s="6" t="s">
        <v>7056</v>
      </c>
      <c r="D1" s="6" t="s">
        <v>3</v>
      </c>
      <c r="E1" s="6" t="s">
        <v>4</v>
      </c>
      <c r="F1" s="6" t="s">
        <v>7032</v>
      </c>
      <c r="G1" s="12" t="s">
        <v>2</v>
      </c>
      <c r="H1" s="12" t="s">
        <v>6984</v>
      </c>
      <c r="I1" s="12" t="s">
        <v>6987</v>
      </c>
      <c r="J1" s="12" t="s">
        <v>6985</v>
      </c>
      <c r="K1" s="12" t="s">
        <v>6980</v>
      </c>
      <c r="L1" s="12" t="s">
        <v>6983</v>
      </c>
      <c r="M1" s="12" t="s">
        <v>6988</v>
      </c>
      <c r="N1" s="6" t="s">
        <v>6682</v>
      </c>
      <c r="O1" s="6" t="s">
        <v>6678</v>
      </c>
      <c r="P1" s="6" t="s">
        <v>6680</v>
      </c>
      <c r="Q1" s="6" t="s">
        <v>6681</v>
      </c>
      <c r="R1" s="6" t="s">
        <v>7065</v>
      </c>
      <c r="S1" s="6" t="s">
        <v>6683</v>
      </c>
      <c r="T1" s="6" t="s">
        <v>6679</v>
      </c>
      <c r="U1" s="6" t="s">
        <v>6934</v>
      </c>
      <c r="V1" s="6" t="s">
        <v>6930</v>
      </c>
      <c r="W1" s="6" t="s">
        <v>6927</v>
      </c>
      <c r="X1" s="6" t="s">
        <v>6929</v>
      </c>
      <c r="Y1" s="6" t="s">
        <v>6931</v>
      </c>
      <c r="Z1" s="6" t="s">
        <v>6932</v>
      </c>
      <c r="AA1" s="6" t="s">
        <v>6933</v>
      </c>
      <c r="AB1" s="6" t="s">
        <v>6935</v>
      </c>
      <c r="AC1" s="6" t="s">
        <v>6936</v>
      </c>
      <c r="AD1" s="6" t="s">
        <v>6948</v>
      </c>
      <c r="AE1" s="6" t="s">
        <v>6937</v>
      </c>
      <c r="AF1" s="6" t="s">
        <v>6938</v>
      </c>
      <c r="AG1" s="6" t="s">
        <v>6942</v>
      </c>
      <c r="AH1" s="6" t="s">
        <v>6940</v>
      </c>
      <c r="AI1" s="6" t="s">
        <v>6941</v>
      </c>
      <c r="AJ1" s="6" t="s">
        <v>6943</v>
      </c>
      <c r="AK1" s="6" t="s">
        <v>6944</v>
      </c>
      <c r="AL1" s="6" t="s">
        <v>6946</v>
      </c>
      <c r="AM1" s="6" t="s">
        <v>6947</v>
      </c>
      <c r="AN1" s="6" t="s">
        <v>6949</v>
      </c>
      <c r="AO1" s="6" t="s">
        <v>6950</v>
      </c>
      <c r="AP1" s="6" t="s">
        <v>6953</v>
      </c>
      <c r="AQ1" s="6" t="s">
        <v>6989</v>
      </c>
      <c r="AR1" s="6" t="s">
        <v>6954</v>
      </c>
      <c r="AS1" s="6" t="s">
        <v>6955</v>
      </c>
      <c r="AT1" s="6" t="s">
        <v>6956</v>
      </c>
      <c r="AU1" s="6" t="s">
        <v>6958</v>
      </c>
      <c r="AV1" s="6" t="s">
        <v>6957</v>
      </c>
      <c r="AW1" s="6" t="s">
        <v>6959</v>
      </c>
      <c r="AX1" s="6" t="s">
        <v>6960</v>
      </c>
      <c r="AY1" s="6" t="s">
        <v>6961</v>
      </c>
      <c r="AZ1" s="6" t="s">
        <v>6974</v>
      </c>
      <c r="BA1" s="6" t="s">
        <v>6973</v>
      </c>
      <c r="BB1" s="6" t="s">
        <v>6962</v>
      </c>
      <c r="BC1" s="6" t="s">
        <v>6963</v>
      </c>
      <c r="BD1" s="6" t="s">
        <v>6964</v>
      </c>
      <c r="BE1" s="6" t="s">
        <v>6966</v>
      </c>
      <c r="BF1" s="6" t="s">
        <v>6967</v>
      </c>
      <c r="BG1" s="6" t="s">
        <v>6968</v>
      </c>
      <c r="BH1" s="6" t="s">
        <v>6970</v>
      </c>
      <c r="BI1" s="6" t="s">
        <v>6972</v>
      </c>
      <c r="BJ1" s="6" t="s">
        <v>6976</v>
      </c>
    </row>
    <row r="2" spans="1:62" x14ac:dyDescent="0.2">
      <c r="A2" t="s">
        <v>6686</v>
      </c>
      <c r="B2" t="str">
        <f>_xlfn.XLOOKUP(E2,'Title Abstract Screening'!G:G,'Title Abstract Screening'!B:B,"")</f>
        <v>physiological factors</v>
      </c>
      <c r="C2" t="str">
        <f>_xlfn.XLOOKUP(E2,'Full Text Screening'!E:E,'Full Text Screening'!C:C," ")</f>
        <v>heart beat</v>
      </c>
      <c r="D2" t="s">
        <v>6007</v>
      </c>
      <c r="E2" s="6" t="s">
        <v>6008</v>
      </c>
      <c r="F2" t="s">
        <v>6997</v>
      </c>
      <c r="G2" s="11">
        <v>2023</v>
      </c>
      <c r="H2" s="11" t="s">
        <v>6928</v>
      </c>
      <c r="I2" s="11"/>
      <c r="J2" s="11"/>
      <c r="K2" s="11"/>
      <c r="L2" s="11"/>
      <c r="M2" s="11"/>
      <c r="N2" t="s">
        <v>6689</v>
      </c>
      <c r="O2" t="s">
        <v>6690</v>
      </c>
      <c r="P2" t="s">
        <v>6691</v>
      </c>
      <c r="Q2">
        <v>86</v>
      </c>
      <c r="S2" t="s">
        <v>6692</v>
      </c>
      <c r="T2" t="s">
        <v>6693</v>
      </c>
      <c r="U2" s="13"/>
      <c r="W2" t="s">
        <v>6928</v>
      </c>
      <c r="AR2" t="s">
        <v>6928</v>
      </c>
    </row>
    <row r="3" spans="1:62" x14ac:dyDescent="0.2">
      <c r="A3" t="s">
        <v>6686</v>
      </c>
      <c r="B3" t="str">
        <f>_xlfn.XLOOKUP(E3,'Title Abstract Screening'!G:G,'Title Abstract Screening'!B:B,"")</f>
        <v>usability evaluation unclear, read fulltext</v>
      </c>
      <c r="C3" t="str">
        <f>_xlfn.XLOOKUP(E3,'Full Text Screening'!E:E,'Full Text Screening'!C:C," ")</f>
        <v>time tracking with step count</v>
      </c>
      <c r="D3" t="s">
        <v>4620</v>
      </c>
      <c r="E3" s="6" t="s">
        <v>4621</v>
      </c>
      <c r="F3" t="s">
        <v>7012</v>
      </c>
      <c r="G3" s="11">
        <v>2010</v>
      </c>
      <c r="H3" s="11" t="s">
        <v>6928</v>
      </c>
      <c r="I3" s="11"/>
      <c r="J3" s="11"/>
      <c r="K3" s="11"/>
      <c r="L3" s="11"/>
      <c r="M3" s="11"/>
      <c r="N3" t="s">
        <v>6687</v>
      </c>
      <c r="O3" t="s">
        <v>6695</v>
      </c>
      <c r="P3" t="s">
        <v>7062</v>
      </c>
      <c r="Q3">
        <v>8</v>
      </c>
      <c r="R3" t="s">
        <v>6696</v>
      </c>
      <c r="S3" t="s">
        <v>6697</v>
      </c>
      <c r="T3" t="s">
        <v>6694</v>
      </c>
      <c r="V3" t="s">
        <v>6928</v>
      </c>
      <c r="Z3" t="s">
        <v>6928</v>
      </c>
      <c r="AS3" t="s">
        <v>6928</v>
      </c>
    </row>
    <row r="4" spans="1:62" x14ac:dyDescent="0.2">
      <c r="A4" t="s">
        <v>6686</v>
      </c>
      <c r="B4" t="str">
        <f>_xlfn.XLOOKUP(E4,'Title Abstract Screening'!G:G,'Title Abstract Screening'!B:B,"")</f>
        <v>multimodal ux NN</v>
      </c>
      <c r="C4" t="str">
        <f>_xlfn.XLOOKUP(E4,'Full Text Screening'!E:E,'Full Text Screening'!C:C," ")</f>
        <v>read again for final extraction</v>
      </c>
      <c r="D4" t="s">
        <v>3977</v>
      </c>
      <c r="E4" s="7" t="s">
        <v>3978</v>
      </c>
      <c r="F4" t="s">
        <v>7016</v>
      </c>
      <c r="G4" s="11">
        <v>2025</v>
      </c>
      <c r="H4" s="11" t="s">
        <v>6928</v>
      </c>
      <c r="I4" s="11"/>
      <c r="J4" s="11"/>
      <c r="K4" s="11"/>
      <c r="L4" s="11"/>
      <c r="M4" s="11" t="s">
        <v>6928</v>
      </c>
      <c r="N4" t="s">
        <v>6912</v>
      </c>
      <c r="O4" t="s">
        <v>6911</v>
      </c>
      <c r="P4" t="s">
        <v>6803</v>
      </c>
      <c r="Q4">
        <v>22</v>
      </c>
      <c r="S4" t="s">
        <v>6692</v>
      </c>
      <c r="T4" t="s">
        <v>6913</v>
      </c>
      <c r="W4" t="s">
        <v>6928</v>
      </c>
      <c r="AT4" t="s">
        <v>6928</v>
      </c>
      <c r="AU4" t="s">
        <v>6928</v>
      </c>
      <c r="AV4" t="s">
        <v>6928</v>
      </c>
      <c r="AW4" t="s">
        <v>6928</v>
      </c>
    </row>
    <row r="5" spans="1:62" x14ac:dyDescent="0.2">
      <c r="A5" t="s">
        <v>6686</v>
      </c>
      <c r="B5" t="str">
        <f>_xlfn.XLOOKUP(E5,'Title Abstract Screening'!G:G,'Title Abstract Screening'!B:B,"")</f>
        <v>physiological factors</v>
      </c>
      <c r="C5" t="str">
        <f>_xlfn.XLOOKUP(E5,'Full Text Screening'!E:E,'Full Text Screening'!C:C," ")</f>
        <v>flow</v>
      </c>
      <c r="D5" t="s">
        <v>4415</v>
      </c>
      <c r="E5" s="6" t="s">
        <v>4416</v>
      </c>
      <c r="F5" t="s">
        <v>6991</v>
      </c>
      <c r="G5" s="11">
        <v>2016</v>
      </c>
      <c r="H5" s="11" t="s">
        <v>6928</v>
      </c>
      <c r="I5" s="11"/>
      <c r="J5" s="11"/>
      <c r="K5" s="11"/>
      <c r="L5" s="11"/>
      <c r="M5" s="11"/>
      <c r="N5" t="s">
        <v>6698</v>
      </c>
      <c r="O5" t="s">
        <v>6700</v>
      </c>
      <c r="P5" t="s">
        <v>6701</v>
      </c>
      <c r="Q5">
        <v>36</v>
      </c>
      <c r="S5" t="s">
        <v>6692</v>
      </c>
      <c r="T5" t="s">
        <v>6699</v>
      </c>
      <c r="X5" t="s">
        <v>6928</v>
      </c>
      <c r="AR5" t="s">
        <v>6928</v>
      </c>
      <c r="BA5" t="s">
        <v>6928</v>
      </c>
      <c r="BI5" t="s">
        <v>6928</v>
      </c>
    </row>
    <row r="6" spans="1:62" x14ac:dyDescent="0.2">
      <c r="A6" t="s">
        <v>6686</v>
      </c>
      <c r="B6" t="str">
        <f>_xlfn.XLOOKUP(E6,'Title Abstract Screening'!G:G,'Title Abstract Screening'!B:B,"")</f>
        <v>automation unclear, read fulltext</v>
      </c>
      <c r="C6" t="str">
        <f>_xlfn.XLOOKUP(E6,'Full Text Screening'!E:E,'Full Text Screening'!C:C," ")</f>
        <v>head movement</v>
      </c>
      <c r="D6" t="s">
        <v>3828</v>
      </c>
      <c r="E6" s="6" t="s">
        <v>3829</v>
      </c>
      <c r="F6" t="s">
        <v>7024</v>
      </c>
      <c r="G6" s="11">
        <v>2008</v>
      </c>
      <c r="H6" s="11" t="s">
        <v>6928</v>
      </c>
      <c r="I6" s="11"/>
      <c r="J6" s="11"/>
      <c r="K6" s="11"/>
      <c r="L6" s="11"/>
      <c r="M6" s="11"/>
      <c r="N6" t="s">
        <v>6704</v>
      </c>
      <c r="O6" t="s">
        <v>6705</v>
      </c>
      <c r="P6" t="s">
        <v>7062</v>
      </c>
      <c r="Q6">
        <v>2</v>
      </c>
      <c r="S6" t="s">
        <v>6692</v>
      </c>
      <c r="T6" t="s">
        <v>6703</v>
      </c>
      <c r="Y6" t="s">
        <v>6928</v>
      </c>
      <c r="Z6" t="s">
        <v>6928</v>
      </c>
      <c r="AU6" t="s">
        <v>6928</v>
      </c>
    </row>
    <row r="7" spans="1:62" x14ac:dyDescent="0.2">
      <c r="A7" t="s">
        <v>6686</v>
      </c>
      <c r="B7" t="str">
        <f>_xlfn.XLOOKUP(E7,'Title Abstract Screening'!G:G,'Title Abstract Screening'!B:B,"")</f>
        <v>head rotation frequency</v>
      </c>
      <c r="C7" t="str">
        <f>_xlfn.XLOOKUP(E7,'Full Text Screening'!E:E,'Full Text Screening'!C:C,"/")</f>
        <v xml:space="preserve"> </v>
      </c>
      <c r="D7" t="s">
        <v>1486</v>
      </c>
      <c r="E7" s="6" t="s">
        <v>2036</v>
      </c>
      <c r="F7" t="s">
        <v>7004</v>
      </c>
      <c r="G7" s="11">
        <v>2020</v>
      </c>
      <c r="H7" s="11" t="s">
        <v>6928</v>
      </c>
      <c r="I7" s="11"/>
      <c r="J7" s="11"/>
      <c r="K7" s="11"/>
      <c r="L7" s="11"/>
      <c r="M7" s="11"/>
      <c r="N7" t="s">
        <v>6707</v>
      </c>
      <c r="O7" t="s">
        <v>6952</v>
      </c>
      <c r="P7" t="s">
        <v>6709</v>
      </c>
      <c r="Q7">
        <v>48</v>
      </c>
      <c r="S7" t="s">
        <v>6697</v>
      </c>
      <c r="T7" t="s">
        <v>6710</v>
      </c>
      <c r="AA7" t="s">
        <v>6928</v>
      </c>
      <c r="AU7" t="s">
        <v>6928</v>
      </c>
    </row>
    <row r="8" spans="1:62" x14ac:dyDescent="0.2">
      <c r="A8" t="s">
        <v>6686</v>
      </c>
      <c r="B8" t="str">
        <f>_xlfn.XLOOKUP(E8,'Title Abstract Screening'!G:G,'Title Abstract Screening'!B:B,"")</f>
        <v>agent based</v>
      </c>
      <c r="C8" t="str">
        <f>_xlfn.XLOOKUP(E8,'Full Text Screening'!E:E,'Full Text Screening'!C:C," ")</f>
        <v>agent based, but only introductionof technique</v>
      </c>
      <c r="D8" t="s">
        <v>5192</v>
      </c>
      <c r="E8" s="6" t="s">
        <v>5193</v>
      </c>
      <c r="F8" t="s">
        <v>7019</v>
      </c>
      <c r="G8" s="11">
        <v>2020</v>
      </c>
      <c r="H8" s="11"/>
      <c r="I8" s="11"/>
      <c r="J8" s="11"/>
      <c r="K8" s="11" t="s">
        <v>6928</v>
      </c>
      <c r="L8" s="11"/>
      <c r="M8" s="11"/>
      <c r="N8" t="s">
        <v>6713</v>
      </c>
      <c r="O8" t="s">
        <v>6921</v>
      </c>
      <c r="P8" t="s">
        <v>7062</v>
      </c>
      <c r="Q8" t="s">
        <v>6920</v>
      </c>
      <c r="S8" t="s">
        <v>6714</v>
      </c>
      <c r="T8" t="s">
        <v>7112</v>
      </c>
      <c r="V8" t="s">
        <v>6928</v>
      </c>
      <c r="Z8" t="s">
        <v>6928</v>
      </c>
      <c r="AA8" t="s">
        <v>6928</v>
      </c>
      <c r="AQ8" t="s">
        <v>6928</v>
      </c>
    </row>
    <row r="9" spans="1:62" x14ac:dyDescent="0.2">
      <c r="A9" t="s">
        <v>6686</v>
      </c>
      <c r="B9" t="str">
        <f>_xlfn.XLOOKUP(E9,'Title Abstract Screening'!G:G,'Title Abstract Screening'!B:B,"")</f>
        <v>physiological factors</v>
      </c>
      <c r="C9" t="str">
        <f>_xlfn.XLOOKUP(E9,'Full Text Screening'!E:E,'Full Text Screening'!C:C," ")</f>
        <v>EEG, head movement for correlation of viewpoint to EEG</v>
      </c>
      <c r="D9" t="s">
        <v>4759</v>
      </c>
      <c r="E9" s="6" t="s">
        <v>4760</v>
      </c>
      <c r="F9" t="s">
        <v>7001</v>
      </c>
      <c r="G9" s="11">
        <v>2018</v>
      </c>
      <c r="H9" s="11" t="s">
        <v>6928</v>
      </c>
      <c r="I9" s="11"/>
      <c r="J9" s="11"/>
      <c r="K9" s="11"/>
      <c r="L9" s="11"/>
      <c r="M9" s="11"/>
      <c r="N9" t="s">
        <v>6715</v>
      </c>
      <c r="O9" t="s">
        <v>6716</v>
      </c>
      <c r="P9" t="s">
        <v>6719</v>
      </c>
      <c r="Q9">
        <v>25</v>
      </c>
      <c r="S9" t="s">
        <v>6692</v>
      </c>
      <c r="T9" t="s">
        <v>6717</v>
      </c>
      <c r="AK9" t="s">
        <v>6928</v>
      </c>
      <c r="AU9" t="s">
        <v>6928</v>
      </c>
      <c r="AY9" t="s">
        <v>6928</v>
      </c>
    </row>
    <row r="10" spans="1:62" x14ac:dyDescent="0.2">
      <c r="A10" t="s">
        <v>6686</v>
      </c>
      <c r="B10" t="str">
        <f>_xlfn.XLOOKUP(E10,'Title Abstract Screening'!G:G,'Title Abstract Screening'!B:B,"")</f>
        <v>face tracking</v>
      </c>
      <c r="C10" t="str">
        <f>_xlfn.XLOOKUP(E10,'Full Text Screening'!E:E,'Full Text Screening'!C:C," ")</f>
        <v>micro expressions</v>
      </c>
      <c r="D10" t="s">
        <v>1486</v>
      </c>
      <c r="E10" s="6" t="s">
        <v>1487</v>
      </c>
      <c r="F10" t="s">
        <v>7003</v>
      </c>
      <c r="G10" s="11">
        <v>2020</v>
      </c>
      <c r="H10" s="11" t="s">
        <v>6928</v>
      </c>
      <c r="I10" s="11"/>
      <c r="J10" s="11"/>
      <c r="K10" s="11"/>
      <c r="L10" s="11"/>
      <c r="M10" s="11"/>
      <c r="N10" t="s">
        <v>6661</v>
      </c>
      <c r="O10" t="s">
        <v>6952</v>
      </c>
      <c r="P10" t="s">
        <v>6722</v>
      </c>
      <c r="Q10">
        <v>48</v>
      </c>
      <c r="S10" t="s">
        <v>6697</v>
      </c>
      <c r="T10" t="s">
        <v>6721</v>
      </c>
      <c r="Z10" t="s">
        <v>6928</v>
      </c>
      <c r="AV10" t="s">
        <v>6928</v>
      </c>
    </row>
    <row r="11" spans="1:62" x14ac:dyDescent="0.2">
      <c r="A11" t="s">
        <v>6686</v>
      </c>
      <c r="B11" t="str">
        <f>_xlfn.XLOOKUP(E11,'Title Abstract Screening'!G:G,'Title Abstract Screening'!B:B,"")</f>
        <v>automation unclear, read fulltext</v>
      </c>
      <c r="C11" t="str">
        <f>_xlfn.XLOOKUP(E11,'Full Text Screening'!E:E,'Full Text Screening'!C:C," ")</f>
        <v>read again for final extraction</v>
      </c>
      <c r="D11" t="s">
        <v>6214</v>
      </c>
      <c r="E11" s="6" t="s">
        <v>6215</v>
      </c>
      <c r="F11" t="s">
        <v>6994</v>
      </c>
      <c r="G11" s="11">
        <v>2021</v>
      </c>
      <c r="H11" s="11" t="s">
        <v>6928</v>
      </c>
      <c r="I11" s="11"/>
      <c r="J11" s="11"/>
      <c r="K11" s="11"/>
      <c r="L11" s="11"/>
      <c r="M11" s="11"/>
      <c r="N11" t="s">
        <v>6917</v>
      </c>
      <c r="O11" t="s">
        <v>6918</v>
      </c>
      <c r="P11" t="s">
        <v>6915</v>
      </c>
      <c r="Q11">
        <v>48</v>
      </c>
      <c r="S11" t="s">
        <v>6692</v>
      </c>
      <c r="T11" t="s">
        <v>6916</v>
      </c>
      <c r="AP11" t="s">
        <v>6928</v>
      </c>
      <c r="AR11" t="s">
        <v>6928</v>
      </c>
    </row>
    <row r="12" spans="1:62" x14ac:dyDescent="0.2">
      <c r="A12" t="s">
        <v>6686</v>
      </c>
      <c r="B12" t="str">
        <f>_xlfn.XLOOKUP(E12,'Title Abstract Screening'!G:G,'Title Abstract Screening'!B:B,"")</f>
        <v>Event-based</v>
      </c>
      <c r="C12" t="str">
        <f>_xlfn.XLOOKUP(E12,'Full Text Screening'!E:E,'Full Text Screening'!C:C," ")</f>
        <v xml:space="preserve">Correlation of events to heart beat </v>
      </c>
      <c r="D12" t="s">
        <v>5885</v>
      </c>
      <c r="E12" s="6" t="s">
        <v>5886</v>
      </c>
      <c r="F12" t="s">
        <v>6995</v>
      </c>
      <c r="G12" s="11">
        <v>2019</v>
      </c>
      <c r="H12" s="11" t="s">
        <v>6928</v>
      </c>
      <c r="I12" s="11"/>
      <c r="J12" s="11"/>
      <c r="K12" s="11"/>
      <c r="L12" s="11"/>
      <c r="M12" s="11"/>
      <c r="N12" t="s">
        <v>6727</v>
      </c>
      <c r="O12" t="s">
        <v>6728</v>
      </c>
      <c r="P12" t="s">
        <v>7062</v>
      </c>
      <c r="Q12">
        <v>80</v>
      </c>
      <c r="S12" t="s">
        <v>6692</v>
      </c>
      <c r="T12" t="s">
        <v>6729</v>
      </c>
      <c r="V12" t="s">
        <v>6928</v>
      </c>
      <c r="AR12" t="s">
        <v>6928</v>
      </c>
      <c r="AX12" t="s">
        <v>6928</v>
      </c>
    </row>
    <row r="13" spans="1:62" x14ac:dyDescent="0.2">
      <c r="A13" t="s">
        <v>6686</v>
      </c>
      <c r="B13" t="str">
        <f>_xlfn.XLOOKUP(E13,'Title Abstract Screening'!G:G,'Title Abstract Screening'!B:B,"")</f>
        <v>AutoQUEST</v>
      </c>
      <c r="C13" t="str">
        <f>_xlfn.XLOOKUP(E13,'Full Text Screening'!E:E,'Full Text Screening'!C:C," ")</f>
        <v>Task Trees genereted after VR usage</v>
      </c>
      <c r="D13" t="s">
        <v>3438</v>
      </c>
      <c r="E13" s="6" t="s">
        <v>3439</v>
      </c>
      <c r="F13" t="s">
        <v>7000</v>
      </c>
      <c r="G13" s="11">
        <v>2019</v>
      </c>
      <c r="H13" s="11" t="s">
        <v>6928</v>
      </c>
      <c r="I13" s="11"/>
      <c r="J13" s="11"/>
      <c r="K13" s="11"/>
      <c r="L13" s="11" t="s">
        <v>6928</v>
      </c>
      <c r="M13" s="11"/>
      <c r="N13" t="s">
        <v>6737</v>
      </c>
      <c r="O13" t="s">
        <v>6925</v>
      </c>
      <c r="P13" t="s">
        <v>6736</v>
      </c>
      <c r="Q13">
        <v>84</v>
      </c>
      <c r="S13" t="s">
        <v>6692</v>
      </c>
      <c r="T13" t="s">
        <v>6734</v>
      </c>
      <c r="AB13" t="s">
        <v>6928</v>
      </c>
      <c r="AX13" t="s">
        <v>6928</v>
      </c>
    </row>
    <row r="14" spans="1:62" x14ac:dyDescent="0.2">
      <c r="A14" t="s">
        <v>6686</v>
      </c>
      <c r="B14" t="str">
        <f>_xlfn.XLOOKUP(E14,'Title Abstract Screening'!G:G,'Title Abstract Screening'!B:B,"")</f>
        <v>AutoQUEST</v>
      </c>
      <c r="C14" t="str">
        <f>_xlfn.XLOOKUP(E14,'Full Text Screening'!E:E,'Full Text Screening'!C:C," ")</f>
        <v xml:space="preserve"> </v>
      </c>
      <c r="D14" t="s">
        <v>391</v>
      </c>
      <c r="E14" s="6" t="s">
        <v>6675</v>
      </c>
      <c r="F14" t="s">
        <v>7007</v>
      </c>
      <c r="G14" s="11">
        <v>2022</v>
      </c>
      <c r="H14" s="11" t="s">
        <v>6928</v>
      </c>
      <c r="I14" s="11"/>
      <c r="J14" s="11"/>
      <c r="K14" s="11"/>
      <c r="L14" s="11" t="s">
        <v>6928</v>
      </c>
      <c r="M14" s="11"/>
      <c r="N14" t="s">
        <v>6738</v>
      </c>
      <c r="O14" t="s">
        <v>6926</v>
      </c>
      <c r="P14" t="s">
        <v>7111</v>
      </c>
      <c r="Q14">
        <v>14</v>
      </c>
      <c r="S14" t="s">
        <v>6692</v>
      </c>
      <c r="T14" t="s">
        <v>6740</v>
      </c>
      <c r="AB14" t="s">
        <v>6928</v>
      </c>
      <c r="AX14" t="s">
        <v>6928</v>
      </c>
    </row>
    <row r="15" spans="1:62" x14ac:dyDescent="0.2">
      <c r="A15" t="s">
        <v>6686</v>
      </c>
      <c r="B15" t="str">
        <f>_xlfn.XLOOKUP(E15,'Title Abstract Screening'!G:G,'Title Abstract Screening'!B:B,"")</f>
        <v>usability evaluation unclear, read fulltext</v>
      </c>
      <c r="C15" t="str">
        <f>_xlfn.XLOOKUP(E15,'Full Text Screening'!E:E,'Full Text Screening'!C:C," ")</f>
        <v xml:space="preserve"> </v>
      </c>
      <c r="D15" t="s">
        <v>2002</v>
      </c>
      <c r="E15" s="6" t="s">
        <v>2003</v>
      </c>
      <c r="F15" t="s">
        <v>6999</v>
      </c>
      <c r="G15" s="11">
        <v>2022</v>
      </c>
      <c r="H15" s="11" t="s">
        <v>6928</v>
      </c>
      <c r="I15" s="11"/>
      <c r="J15" s="11"/>
      <c r="K15" s="11"/>
      <c r="L15" s="11"/>
      <c r="M15" s="11"/>
      <c r="N15" t="s">
        <v>7064</v>
      </c>
      <c r="O15" t="s">
        <v>6945</v>
      </c>
      <c r="P15" t="s">
        <v>6747</v>
      </c>
      <c r="Q15">
        <v>19</v>
      </c>
      <c r="S15" t="s">
        <v>6697</v>
      </c>
      <c r="T15" t="s">
        <v>6744</v>
      </c>
      <c r="U15" t="s">
        <v>6928</v>
      </c>
      <c r="AH15" t="s">
        <v>6928</v>
      </c>
      <c r="AK15" t="s">
        <v>6928</v>
      </c>
      <c r="AT15" t="s">
        <v>6928</v>
      </c>
      <c r="AU15" t="s">
        <v>6928</v>
      </c>
      <c r="AX15" t="s">
        <v>6928</v>
      </c>
      <c r="BE15" t="s">
        <v>6928</v>
      </c>
    </row>
    <row r="16" spans="1:62" x14ac:dyDescent="0.2">
      <c r="A16" t="s">
        <v>6686</v>
      </c>
      <c r="B16" t="str">
        <f>_xlfn.XLOOKUP(E16,'Title Abstract Screening'!G:G,'Title Abstract Screening'!B:B,"")</f>
        <v>physiological factors</v>
      </c>
      <c r="C16" t="str">
        <f>_xlfn.XLOOKUP(E16,'Full Text Screening'!E:E,'Full Text Screening'!C:C," ")</f>
        <v>EEG</v>
      </c>
      <c r="D16" t="s">
        <v>5375</v>
      </c>
      <c r="E16" s="6" t="s">
        <v>5376</v>
      </c>
      <c r="F16" t="s">
        <v>7002</v>
      </c>
      <c r="G16" s="11">
        <v>2017</v>
      </c>
      <c r="H16" s="11" t="s">
        <v>6928</v>
      </c>
      <c r="I16" s="11"/>
      <c r="J16" s="11"/>
      <c r="K16" s="11"/>
      <c r="L16" s="11"/>
      <c r="M16" s="11"/>
      <c r="N16" t="s">
        <v>6752</v>
      </c>
      <c r="O16" t="s">
        <v>6753</v>
      </c>
      <c r="P16" t="s">
        <v>6754</v>
      </c>
      <c r="Q16">
        <v>32</v>
      </c>
      <c r="S16" t="s">
        <v>6692</v>
      </c>
      <c r="T16" t="s">
        <v>6752</v>
      </c>
      <c r="U16" t="s">
        <v>6928</v>
      </c>
      <c r="AY16" t="s">
        <v>6928</v>
      </c>
    </row>
    <row r="17" spans="1:60" x14ac:dyDescent="0.2">
      <c r="A17" t="s">
        <v>6686</v>
      </c>
      <c r="B17" t="str">
        <f>_xlfn.XLOOKUP(E17,'Title Abstract Screening'!G:G,'Title Abstract Screening'!B:B,"")</f>
        <v>eye tracking</v>
      </c>
      <c r="C17" t="str">
        <f>_xlfn.XLOOKUP(E17,'Full Text Screening'!E:E,'Full Text Screening'!C:C," ")</f>
        <v xml:space="preserve"> </v>
      </c>
      <c r="D17" t="s">
        <v>2071</v>
      </c>
      <c r="E17" s="6" t="s">
        <v>2072</v>
      </c>
      <c r="F17" t="s">
        <v>7010</v>
      </c>
      <c r="G17" s="11">
        <v>2022</v>
      </c>
      <c r="H17" s="11" t="s">
        <v>6928</v>
      </c>
      <c r="I17" s="11"/>
      <c r="J17" s="11"/>
      <c r="K17" s="11"/>
      <c r="L17" s="11"/>
      <c r="M17" s="11"/>
      <c r="N17" t="s">
        <v>6758</v>
      </c>
      <c r="O17" t="s">
        <v>6756</v>
      </c>
      <c r="P17" t="s">
        <v>6757</v>
      </c>
      <c r="Q17">
        <v>40</v>
      </c>
      <c r="S17" t="s">
        <v>6692</v>
      </c>
      <c r="T17" t="s">
        <v>6755</v>
      </c>
      <c r="AC17" t="s">
        <v>6928</v>
      </c>
      <c r="AE17" t="s">
        <v>6928</v>
      </c>
      <c r="AF17" t="s">
        <v>6928</v>
      </c>
      <c r="AR17" t="s">
        <v>6928</v>
      </c>
      <c r="BE17" t="s">
        <v>6928</v>
      </c>
    </row>
    <row r="18" spans="1:60" x14ac:dyDescent="0.2">
      <c r="A18" t="s">
        <v>6686</v>
      </c>
      <c r="B18" t="str">
        <f>_xlfn.XLOOKUP(E18,'Title Abstract Screening'!G:G,'Title Abstract Screening'!B:B,"")</f>
        <v>eye tracking</v>
      </c>
      <c r="C18" t="str">
        <f>_xlfn.XLOOKUP(E18,'Full Text Screening'!E:E,'Full Text Screening'!C:C," ")</f>
        <v xml:space="preserve"> </v>
      </c>
      <c r="D18" t="s">
        <v>5800</v>
      </c>
      <c r="E18" s="6" t="s">
        <v>5801</v>
      </c>
      <c r="F18" t="s">
        <v>7017</v>
      </c>
      <c r="G18" s="11">
        <v>2021</v>
      </c>
      <c r="H18" s="11" t="s">
        <v>6928</v>
      </c>
      <c r="I18" s="11"/>
      <c r="J18" s="11"/>
      <c r="K18" s="11"/>
      <c r="L18" s="11"/>
      <c r="M18" s="11"/>
      <c r="N18" t="s">
        <v>6760</v>
      </c>
      <c r="O18" t="s">
        <v>6939</v>
      </c>
      <c r="P18" t="s">
        <v>6761</v>
      </c>
      <c r="Q18">
        <v>18</v>
      </c>
      <c r="S18" t="s">
        <v>6697</v>
      </c>
      <c r="T18" t="s">
        <v>6965</v>
      </c>
      <c r="AF18" t="s">
        <v>6928</v>
      </c>
      <c r="AG18" t="s">
        <v>6928</v>
      </c>
      <c r="AU18" t="s">
        <v>6928</v>
      </c>
      <c r="BE18" t="s">
        <v>6928</v>
      </c>
    </row>
    <row r="19" spans="1:60" x14ac:dyDescent="0.2">
      <c r="A19" t="s">
        <v>6686</v>
      </c>
      <c r="B19" t="str">
        <f>_xlfn.XLOOKUP(E19,'Title Abstract Screening'!G:G,'Title Abstract Screening'!B:B,"")</f>
        <v>physiological factors</v>
      </c>
      <c r="C19" t="str">
        <f>_xlfn.XLOOKUP(E19,'Full Text Screening'!E:E,'Full Text Screening'!C:C," ")</f>
        <v>Electrodermal activity</v>
      </c>
      <c r="D19" t="s">
        <v>1710</v>
      </c>
      <c r="E19" s="6" t="s">
        <v>1711</v>
      </c>
      <c r="F19" t="s">
        <v>7028</v>
      </c>
      <c r="G19" s="11">
        <v>2020</v>
      </c>
      <c r="H19" s="11" t="s">
        <v>6928</v>
      </c>
      <c r="I19" s="11"/>
      <c r="J19" s="11"/>
      <c r="K19" s="11"/>
      <c r="L19" s="11"/>
      <c r="M19" s="11"/>
      <c r="N19" t="s">
        <v>6767</v>
      </c>
      <c r="O19" t="s">
        <v>6765</v>
      </c>
      <c r="P19" t="s">
        <v>6766</v>
      </c>
      <c r="Q19">
        <v>60</v>
      </c>
      <c r="S19" t="s">
        <v>6692</v>
      </c>
      <c r="T19" t="s">
        <v>6764</v>
      </c>
      <c r="AF19" t="s">
        <v>6928</v>
      </c>
      <c r="AH19" t="s">
        <v>6928</v>
      </c>
      <c r="AU19" t="s">
        <v>6928</v>
      </c>
      <c r="AZ19" t="s">
        <v>6928</v>
      </c>
    </row>
    <row r="20" spans="1:60" x14ac:dyDescent="0.2">
      <c r="A20" t="s">
        <v>6686</v>
      </c>
      <c r="B20" t="str">
        <f>_xlfn.XLOOKUP(E20,'Title Abstract Screening'!G:G,'Title Abstract Screening'!B:B,"")</f>
        <v>eye tracking</v>
      </c>
      <c r="C20" t="str">
        <f>_xlfn.XLOOKUP(E20,'Full Text Screening'!E:E,'Full Text Screening'!C:C," ")</f>
        <v xml:space="preserve"> </v>
      </c>
      <c r="D20" t="s">
        <v>5530</v>
      </c>
      <c r="E20" s="6" t="s">
        <v>5531</v>
      </c>
      <c r="F20" t="s">
        <v>7021</v>
      </c>
      <c r="G20" s="11">
        <v>2025</v>
      </c>
      <c r="H20" s="11" t="s">
        <v>6928</v>
      </c>
      <c r="I20" s="11" t="s">
        <v>6928</v>
      </c>
      <c r="J20" s="11"/>
      <c r="K20" s="11"/>
      <c r="L20" s="11"/>
      <c r="M20" s="11"/>
      <c r="N20" t="s">
        <v>6775</v>
      </c>
      <c r="O20" t="s">
        <v>6774</v>
      </c>
      <c r="P20" t="s">
        <v>7062</v>
      </c>
      <c r="Q20">
        <v>2</v>
      </c>
      <c r="S20" t="s">
        <v>6692</v>
      </c>
      <c r="T20" t="s">
        <v>6773</v>
      </c>
      <c r="W20" t="s">
        <v>6928</v>
      </c>
      <c r="AF20" t="s">
        <v>6928</v>
      </c>
      <c r="AG20" t="s">
        <v>6928</v>
      </c>
      <c r="AI20" t="s">
        <v>6928</v>
      </c>
      <c r="BE20" t="s">
        <v>6928</v>
      </c>
    </row>
    <row r="21" spans="1:60" x14ac:dyDescent="0.2">
      <c r="A21" t="s">
        <v>6686</v>
      </c>
      <c r="B21" t="str">
        <f>_xlfn.XLOOKUP(E21,'Title Abstract Screening'!G:G,'Title Abstract Screening'!B:B,"")</f>
        <v>heart rate skeleton</v>
      </c>
      <c r="C21" t="str">
        <f>_xlfn.XLOOKUP(E21,'Full Text Screening'!E:E,'Full Text Screening'!C:C," ")</f>
        <v>A lot of automated measurement, but primarily for the exoskeleton</v>
      </c>
      <c r="D21" t="s">
        <v>1075</v>
      </c>
      <c r="E21" s="6" t="s">
        <v>1076</v>
      </c>
      <c r="F21" t="s">
        <v>7025</v>
      </c>
      <c r="G21" s="11">
        <v>2025</v>
      </c>
      <c r="H21" s="11" t="s">
        <v>6928</v>
      </c>
      <c r="I21" s="11"/>
      <c r="J21" s="11"/>
      <c r="K21" s="11"/>
      <c r="L21" s="11"/>
      <c r="M21" s="11"/>
      <c r="N21" t="s">
        <v>7113</v>
      </c>
      <c r="O21" t="s">
        <v>6779</v>
      </c>
      <c r="P21" t="s">
        <v>7110</v>
      </c>
      <c r="Q21">
        <v>11</v>
      </c>
      <c r="S21" t="s">
        <v>6692</v>
      </c>
      <c r="T21" t="s">
        <v>6778</v>
      </c>
      <c r="AC21" t="s">
        <v>6928</v>
      </c>
      <c r="AR21" t="s">
        <v>6928</v>
      </c>
    </row>
    <row r="22" spans="1:60" x14ac:dyDescent="0.2">
      <c r="A22" t="s">
        <v>6686</v>
      </c>
      <c r="B22" t="str">
        <f>_xlfn.XLOOKUP(E22,'Title Abstract Screening'!G:G,'Title Abstract Screening'!B:B,"")</f>
        <v>physiological factors</v>
      </c>
      <c r="C22" t="str">
        <f>_xlfn.XLOOKUP(E22,'Full Text Screening'!E:E,'Full Text Screening'!C:C," ")</f>
        <v>EEG</v>
      </c>
      <c r="D22" t="s">
        <v>6313</v>
      </c>
      <c r="E22" s="6" t="s">
        <v>6314</v>
      </c>
      <c r="F22" t="s">
        <v>6993</v>
      </c>
      <c r="G22" s="11">
        <v>2023</v>
      </c>
      <c r="H22" s="11" t="s">
        <v>6928</v>
      </c>
      <c r="I22" s="11"/>
      <c r="J22" s="11"/>
      <c r="K22" s="11"/>
      <c r="L22" s="11"/>
      <c r="M22" s="11"/>
      <c r="N22" t="s">
        <v>6780</v>
      </c>
      <c r="O22" t="s">
        <v>6783</v>
      </c>
      <c r="P22" t="s">
        <v>6781</v>
      </c>
      <c r="Q22">
        <v>27</v>
      </c>
      <c r="S22" t="s">
        <v>6692</v>
      </c>
      <c r="T22" t="s">
        <v>6782</v>
      </c>
      <c r="AF22" t="s">
        <v>6928</v>
      </c>
      <c r="AJ22" t="s">
        <v>6928</v>
      </c>
      <c r="AY22" t="s">
        <v>6928</v>
      </c>
    </row>
    <row r="23" spans="1:60" x14ac:dyDescent="0.2">
      <c r="A23" t="s">
        <v>6686</v>
      </c>
      <c r="B23" t="str">
        <f>_xlfn.XLOOKUP(E23,'Title Abstract Screening'!G:G,'Title Abstract Screening'!B:B,"")</f>
        <v>eye tracking</v>
      </c>
      <c r="C23" t="str">
        <f>_xlfn.XLOOKUP(E23,'Full Text Screening'!E:E,'Full Text Screening'!C:C," ")</f>
        <v xml:space="preserve"> </v>
      </c>
      <c r="D23" t="s">
        <v>1221</v>
      </c>
      <c r="E23" s="6" t="s">
        <v>1222</v>
      </c>
      <c r="F23" t="s">
        <v>6998</v>
      </c>
      <c r="G23" s="11">
        <v>2024</v>
      </c>
      <c r="H23" s="11" t="s">
        <v>6928</v>
      </c>
      <c r="I23" s="11"/>
      <c r="J23" s="11"/>
      <c r="K23" s="11"/>
      <c r="L23" s="11"/>
      <c r="M23" s="11"/>
      <c r="N23" t="s">
        <v>6784</v>
      </c>
      <c r="O23" t="s">
        <v>6786</v>
      </c>
      <c r="P23" t="s">
        <v>7110</v>
      </c>
      <c r="Q23">
        <v>40</v>
      </c>
      <c r="S23" t="s">
        <v>6692</v>
      </c>
      <c r="T23" t="s">
        <v>6785</v>
      </c>
      <c r="W23" t="s">
        <v>6928</v>
      </c>
      <c r="AL23" t="s">
        <v>6928</v>
      </c>
      <c r="AM23" t="s">
        <v>6928</v>
      </c>
      <c r="AR23" t="s">
        <v>6928</v>
      </c>
      <c r="AZ23" t="s">
        <v>6928</v>
      </c>
      <c r="BE23" t="s">
        <v>6928</v>
      </c>
    </row>
    <row r="24" spans="1:60" x14ac:dyDescent="0.2">
      <c r="A24" t="s">
        <v>6686</v>
      </c>
      <c r="B24" t="str">
        <f>_xlfn.XLOOKUP(E24,'Title Abstract Screening'!G:G,'Title Abstract Screening'!B:B,"")</f>
        <v>usability evaluation unclear, read fulltext</v>
      </c>
      <c r="C24" t="str">
        <f>_xlfn.XLOOKUP(E24,'Full Text Screening'!E:E,'Full Text Screening'!C:C," ")</f>
        <v xml:space="preserve"> </v>
      </c>
      <c r="D24" t="s">
        <v>2570</v>
      </c>
      <c r="E24" s="6" t="s">
        <v>2571</v>
      </c>
      <c r="F24" t="s">
        <v>7018</v>
      </c>
      <c r="G24" s="11">
        <v>2016</v>
      </c>
      <c r="H24" s="11" t="s">
        <v>6928</v>
      </c>
      <c r="I24" s="11"/>
      <c r="J24" s="11"/>
      <c r="K24" s="11"/>
      <c r="L24" s="11"/>
      <c r="M24" s="11"/>
      <c r="N24" t="s">
        <v>6793</v>
      </c>
      <c r="O24" t="s">
        <v>6790</v>
      </c>
      <c r="P24" t="s">
        <v>6794</v>
      </c>
      <c r="Q24">
        <v>2</v>
      </c>
      <c r="R24" t="s">
        <v>6792</v>
      </c>
      <c r="S24" t="s">
        <v>6697</v>
      </c>
      <c r="T24" t="s">
        <v>6791</v>
      </c>
      <c r="AL24" t="s">
        <v>6928</v>
      </c>
      <c r="BE24" t="s">
        <v>6928</v>
      </c>
      <c r="BG24" t="s">
        <v>6928</v>
      </c>
    </row>
    <row r="25" spans="1:60" x14ac:dyDescent="0.2">
      <c r="A25" t="s">
        <v>6686</v>
      </c>
      <c r="B25" t="str">
        <f>_xlfn.XLOOKUP(E25,'Title Abstract Screening'!G:G,'Title Abstract Screening'!B:B,"")</f>
        <v>physiological factors</v>
      </c>
      <c r="C25" t="str">
        <f>_xlfn.XLOOKUP(E25,'Full Text Screening'!E:E,'Full Text Screening'!C:C," ")</f>
        <v xml:space="preserve"> </v>
      </c>
      <c r="D25" t="s">
        <v>428</v>
      </c>
      <c r="E25" s="6" t="s">
        <v>429</v>
      </c>
      <c r="F25" t="s">
        <v>7030</v>
      </c>
      <c r="G25" s="11">
        <v>2021</v>
      </c>
      <c r="H25" s="11" t="s">
        <v>6928</v>
      </c>
      <c r="I25" s="11"/>
      <c r="J25" s="11"/>
      <c r="K25" s="11"/>
      <c r="L25" s="11"/>
      <c r="M25" s="11"/>
      <c r="N25" t="s">
        <v>7114</v>
      </c>
      <c r="O25" t="s">
        <v>6922</v>
      </c>
      <c r="P25" t="s">
        <v>7109</v>
      </c>
      <c r="Q25" t="s">
        <v>7063</v>
      </c>
      <c r="R25" t="s">
        <v>7116</v>
      </c>
      <c r="S25" t="s">
        <v>6692</v>
      </c>
      <c r="T25" t="s">
        <v>7118</v>
      </c>
      <c r="AC25" t="s">
        <v>6928</v>
      </c>
      <c r="AD25" t="s">
        <v>6928</v>
      </c>
      <c r="AR25" t="s">
        <v>6928</v>
      </c>
      <c r="BD25" t="s">
        <v>6928</v>
      </c>
    </row>
    <row r="26" spans="1:60" x14ac:dyDescent="0.2">
      <c r="A26" t="s">
        <v>6686</v>
      </c>
      <c r="B26" t="str">
        <f>_xlfn.XLOOKUP(E26,'Title Abstract Screening'!G:G,'Title Abstract Screening'!B:B,"")</f>
        <v>usability evaluation unclear, read fulltext</v>
      </c>
      <c r="C26" t="str">
        <f>_xlfn.XLOOKUP(E26,'Full Text Screening'!E:E,'Full Text Screening'!C:C," ")</f>
        <v>Multimodal ML model trained on presence</v>
      </c>
      <c r="D26" t="s">
        <v>1660</v>
      </c>
      <c r="E26" s="6" t="s">
        <v>1661</v>
      </c>
      <c r="F26" t="s">
        <v>7014</v>
      </c>
      <c r="G26" s="11">
        <v>2022</v>
      </c>
      <c r="H26" s="11" t="s">
        <v>6928</v>
      </c>
      <c r="I26" s="11"/>
      <c r="J26" s="11"/>
      <c r="K26" s="11"/>
      <c r="L26" s="11"/>
      <c r="M26" s="11" t="s">
        <v>6928</v>
      </c>
      <c r="N26" t="s">
        <v>6802</v>
      </c>
      <c r="O26" t="s">
        <v>6801</v>
      </c>
      <c r="P26" t="s">
        <v>6803</v>
      </c>
      <c r="Q26">
        <v>36</v>
      </c>
      <c r="R26" t="s">
        <v>6979</v>
      </c>
      <c r="S26" t="s">
        <v>6692</v>
      </c>
      <c r="T26" t="s">
        <v>6833</v>
      </c>
      <c r="W26" t="s">
        <v>6928</v>
      </c>
      <c r="AT26" t="s">
        <v>6928</v>
      </c>
      <c r="AU26" t="s">
        <v>6928</v>
      </c>
      <c r="BC26" t="s">
        <v>6928</v>
      </c>
      <c r="BG26" t="s">
        <v>6928</v>
      </c>
    </row>
    <row r="27" spans="1:60" x14ac:dyDescent="0.2">
      <c r="A27" t="s">
        <v>6686</v>
      </c>
      <c r="B27" t="str">
        <f>_xlfn.XLOOKUP(E27,'Title Abstract Screening'!G:G,'Title Abstract Screening'!B:B,"")</f>
        <v>physiological factors</v>
      </c>
      <c r="C27" t="str">
        <f>_xlfn.XLOOKUP(E27,'Full Text Screening'!E:E,'Full Text Screening'!C:C," ")</f>
        <v>experimental classification of attention as usability factor</v>
      </c>
      <c r="D27" t="s">
        <v>5044</v>
      </c>
      <c r="E27" s="6" t="s">
        <v>5045</v>
      </c>
      <c r="F27" t="s">
        <v>7011</v>
      </c>
      <c r="G27" s="11">
        <v>2024</v>
      </c>
      <c r="H27" s="11" t="s">
        <v>6928</v>
      </c>
      <c r="I27" s="11"/>
      <c r="J27" s="11"/>
      <c r="K27" s="11"/>
      <c r="L27" s="11"/>
      <c r="M27" s="11" t="s">
        <v>6928</v>
      </c>
      <c r="N27" t="s">
        <v>6806</v>
      </c>
      <c r="O27" t="s">
        <v>6804</v>
      </c>
      <c r="P27" t="s">
        <v>7062</v>
      </c>
      <c r="Q27">
        <v>24</v>
      </c>
      <c r="S27" t="s">
        <v>6692</v>
      </c>
      <c r="T27" t="s">
        <v>6805</v>
      </c>
      <c r="AF27" t="s">
        <v>6928</v>
      </c>
      <c r="AY27" t="s">
        <v>6928</v>
      </c>
      <c r="BF27" t="s">
        <v>6928</v>
      </c>
    </row>
    <row r="28" spans="1:60" x14ac:dyDescent="0.2">
      <c r="A28" t="s">
        <v>6686</v>
      </c>
      <c r="B28" t="str">
        <f>_xlfn.XLOOKUP(E28,'Title Abstract Screening'!G:G,'Title Abstract Screening'!B:B,"")</f>
        <v>physiological factors</v>
      </c>
      <c r="C28" t="str">
        <f>_xlfn.XLOOKUP(E28,'Full Text Screening'!E:E,'Full Text Screening'!C:C," ")</f>
        <v>EEG and GSR for UX factors</v>
      </c>
      <c r="D28" t="s">
        <v>363</v>
      </c>
      <c r="E28" s="6" t="s">
        <v>364</v>
      </c>
      <c r="F28" t="s">
        <v>7009</v>
      </c>
      <c r="G28" s="11">
        <v>2023</v>
      </c>
      <c r="H28" s="11" t="s">
        <v>6928</v>
      </c>
      <c r="I28" s="11"/>
      <c r="J28" s="11"/>
      <c r="K28" s="11"/>
      <c r="L28" s="11"/>
      <c r="M28" s="11"/>
      <c r="N28" t="s">
        <v>6809</v>
      </c>
      <c r="O28" t="s">
        <v>6951</v>
      </c>
      <c r="P28" t="s">
        <v>6810</v>
      </c>
      <c r="Q28">
        <v>11</v>
      </c>
      <c r="S28" t="s">
        <v>6692</v>
      </c>
      <c r="T28" t="s">
        <v>6807</v>
      </c>
      <c r="W28" t="s">
        <v>6928</v>
      </c>
      <c r="X28" t="s">
        <v>6928</v>
      </c>
      <c r="AA28" t="s">
        <v>6928</v>
      </c>
      <c r="AJ28" t="s">
        <v>6928</v>
      </c>
      <c r="AY28" t="s">
        <v>6928</v>
      </c>
      <c r="AZ28" t="s">
        <v>6928</v>
      </c>
    </row>
    <row r="29" spans="1:60" x14ac:dyDescent="0.2">
      <c r="A29" t="s">
        <v>6686</v>
      </c>
      <c r="B29" t="str">
        <f>_xlfn.XLOOKUP(E29,'Title Abstract Screening'!G:G,'Title Abstract Screening'!B:B,"")</f>
        <v>usability evaluation unclear, read fulltext</v>
      </c>
      <c r="C29" t="str">
        <f>_xlfn.XLOOKUP(E29,'Full Text Screening'!E:E,'Full Text Screening'!C:C," ")</f>
        <v>AR no usability, unrealistic object placement detection ML</v>
      </c>
      <c r="D29" t="s">
        <v>3997</v>
      </c>
      <c r="E29" s="6" t="s">
        <v>3998</v>
      </c>
      <c r="F29" t="s">
        <v>7020</v>
      </c>
      <c r="G29" s="11">
        <v>2023</v>
      </c>
      <c r="H29" s="11"/>
      <c r="I29" s="11"/>
      <c r="J29" s="11" t="s">
        <v>6928</v>
      </c>
      <c r="K29" s="11"/>
      <c r="L29" s="11"/>
      <c r="M29" s="11" t="s">
        <v>6928</v>
      </c>
      <c r="N29" t="s">
        <v>6839</v>
      </c>
      <c r="O29" t="s">
        <v>6812</v>
      </c>
      <c r="P29" t="s">
        <v>6794</v>
      </c>
      <c r="Q29" t="s">
        <v>6920</v>
      </c>
      <c r="R29" t="s">
        <v>6914</v>
      </c>
      <c r="S29" t="s">
        <v>6697</v>
      </c>
      <c r="T29" t="s">
        <v>7119</v>
      </c>
      <c r="AM29" t="s">
        <v>6928</v>
      </c>
      <c r="AQ29" t="s">
        <v>6928</v>
      </c>
    </row>
    <row r="30" spans="1:60" x14ac:dyDescent="0.2">
      <c r="A30" t="s">
        <v>6686</v>
      </c>
      <c r="B30" t="str">
        <f>_xlfn.XLOOKUP(E30,'Title Abstract Screening'!G:G,'Title Abstract Screening'!B:B,"")</f>
        <v>automation unclear, read fulltext</v>
      </c>
      <c r="C30" t="str">
        <f>_xlfn.XLOOKUP(E30,'Full Text Screening'!E:E,'Full Text Screening'!C:C," ")</f>
        <v>Many ideas and analyses based on machine learning, but no properly documented user study</v>
      </c>
      <c r="D30" t="s">
        <v>5558</v>
      </c>
      <c r="E30" s="6" t="s">
        <v>5559</v>
      </c>
      <c r="F30" t="s">
        <v>7026</v>
      </c>
      <c r="G30" s="11">
        <v>2024</v>
      </c>
      <c r="H30" s="11"/>
      <c r="I30" s="11"/>
      <c r="J30" s="11"/>
      <c r="K30" s="11"/>
      <c r="L30" s="11"/>
      <c r="M30" s="11" t="s">
        <v>6928</v>
      </c>
      <c r="N30" t="s">
        <v>7115</v>
      </c>
      <c r="O30" t="s">
        <v>6923</v>
      </c>
      <c r="P30" t="s">
        <v>7062</v>
      </c>
      <c r="Q30" t="s">
        <v>6920</v>
      </c>
      <c r="S30" t="s">
        <v>6816</v>
      </c>
      <c r="T30" t="s">
        <v>6978</v>
      </c>
      <c r="AH30" t="s">
        <v>6928</v>
      </c>
      <c r="AN30" t="s">
        <v>6928</v>
      </c>
      <c r="AX30" t="s">
        <v>6928</v>
      </c>
      <c r="BC30" t="s">
        <v>6928</v>
      </c>
    </row>
    <row r="31" spans="1:60" x14ac:dyDescent="0.2">
      <c r="A31" t="s">
        <v>6686</v>
      </c>
      <c r="B31" t="str">
        <f>_xlfn.XLOOKUP(E31,'Title Abstract Screening'!G:G,'Title Abstract Screening'!B:B,"")</f>
        <v>automation unclear, read fulltext</v>
      </c>
      <c r="C31" t="str">
        <f>_xlfn.XLOOKUP(E31,'Full Text Screening'!E:E,'Full Text Screening'!C:C," ")</f>
        <v>external AR app for evaluators</v>
      </c>
      <c r="D31" t="s">
        <v>5449</v>
      </c>
      <c r="E31" s="6" t="s">
        <v>5450</v>
      </c>
      <c r="F31" t="s">
        <v>7027</v>
      </c>
      <c r="G31" s="11">
        <v>2022</v>
      </c>
      <c r="H31" s="11" t="s">
        <v>6928</v>
      </c>
      <c r="I31" s="11"/>
      <c r="J31" s="11"/>
      <c r="K31" s="11"/>
      <c r="L31" s="11"/>
      <c r="M31" s="11"/>
      <c r="N31" t="s">
        <v>6986</v>
      </c>
      <c r="O31" t="s">
        <v>6822</v>
      </c>
      <c r="P31" t="s">
        <v>7062</v>
      </c>
      <c r="Q31" t="s">
        <v>6920</v>
      </c>
      <c r="S31" t="s">
        <v>6697</v>
      </c>
      <c r="T31" t="s">
        <v>6823</v>
      </c>
      <c r="V31" t="s">
        <v>6928</v>
      </c>
      <c r="AA31" t="s">
        <v>6928</v>
      </c>
      <c r="AC31" t="s">
        <v>6928</v>
      </c>
      <c r="AR31" t="s">
        <v>6928</v>
      </c>
      <c r="AV31" t="s">
        <v>6928</v>
      </c>
      <c r="AX31" t="s">
        <v>6928</v>
      </c>
      <c r="BC31" t="s">
        <v>6928</v>
      </c>
    </row>
    <row r="32" spans="1:60" x14ac:dyDescent="0.2">
      <c r="A32" t="s">
        <v>6686</v>
      </c>
      <c r="B32" t="str">
        <f>_xlfn.XLOOKUP(E32,'Title Abstract Screening'!G:G,'Title Abstract Screening'!B:B,"")</f>
        <v>usability evaluation unclear, read fulltext</v>
      </c>
      <c r="C32" t="str">
        <f>_xlfn.XLOOKUP(E32,'Full Text Screening'!E:E,'Full Text Screening'!C:C," ")</f>
        <v>pupil, eye, head tracking</v>
      </c>
      <c r="D32" t="s">
        <v>2667</v>
      </c>
      <c r="E32" s="6" t="s">
        <v>2668</v>
      </c>
      <c r="F32" t="s">
        <v>7029</v>
      </c>
      <c r="G32" s="11">
        <v>2019</v>
      </c>
      <c r="H32" s="11" t="s">
        <v>6928</v>
      </c>
      <c r="I32" s="11" t="s">
        <v>6928</v>
      </c>
      <c r="J32" s="11"/>
      <c r="K32" s="11"/>
      <c r="L32" s="11"/>
      <c r="M32" s="11"/>
      <c r="N32" t="s">
        <v>6827</v>
      </c>
      <c r="O32" t="s">
        <v>6828</v>
      </c>
      <c r="P32" t="s">
        <v>7062</v>
      </c>
      <c r="Q32" t="s">
        <v>6919</v>
      </c>
      <c r="S32" t="s">
        <v>6692</v>
      </c>
      <c r="T32" t="s">
        <v>6969</v>
      </c>
      <c r="X32" t="s">
        <v>6928</v>
      </c>
      <c r="AC32" t="s">
        <v>6928</v>
      </c>
      <c r="AU32" t="s">
        <v>6928</v>
      </c>
      <c r="BF32" t="s">
        <v>6928</v>
      </c>
      <c r="BH32" t="s">
        <v>6928</v>
      </c>
    </row>
    <row r="33" spans="1:62" x14ac:dyDescent="0.2">
      <c r="A33" t="s">
        <v>6686</v>
      </c>
      <c r="B33" t="str">
        <f>_xlfn.XLOOKUP(E33,'Title Abstract Screening'!G:G,'Title Abstract Screening'!B:B,"")</f>
        <v>usability evaluation unclear, read fulltext</v>
      </c>
      <c r="C33" t="str">
        <f>_xlfn.XLOOKUP(E33,'Full Text Screening'!E:E,'Full Text Screening'!C:C," ")</f>
        <v>heart rate and scr</v>
      </c>
      <c r="D33" t="s">
        <v>6297</v>
      </c>
      <c r="E33" s="6" t="s">
        <v>6298</v>
      </c>
      <c r="F33" t="s">
        <v>7023</v>
      </c>
      <c r="G33" s="11">
        <v>2024</v>
      </c>
      <c r="H33" s="11" t="s">
        <v>6928</v>
      </c>
      <c r="I33" s="11"/>
      <c r="J33" s="11"/>
      <c r="K33" s="11"/>
      <c r="L33" s="11"/>
      <c r="M33" s="11"/>
      <c r="N33" t="s">
        <v>6832</v>
      </c>
      <c r="O33" t="s">
        <v>6829</v>
      </c>
      <c r="P33" t="s">
        <v>7062</v>
      </c>
      <c r="Q33">
        <v>17</v>
      </c>
      <c r="S33" t="s">
        <v>6692</v>
      </c>
      <c r="T33" t="s">
        <v>6830</v>
      </c>
      <c r="AO33" t="s">
        <v>6928</v>
      </c>
      <c r="AR33" t="s">
        <v>6928</v>
      </c>
      <c r="AZ33" t="s">
        <v>6928</v>
      </c>
    </row>
    <row r="34" spans="1:62" x14ac:dyDescent="0.2">
      <c r="A34" t="s">
        <v>6686</v>
      </c>
      <c r="B34" t="str">
        <f>_xlfn.XLOOKUP(E34,'Title Abstract Screening'!G:G,'Title Abstract Screening'!B:B,"")</f>
        <v>sentiment</v>
      </c>
      <c r="C34" t="str">
        <f>_xlfn.XLOOKUP(E34,'Full Text Screening'!E:E,'Full Text Screening'!C:C," ")</f>
        <v>A foundation for “Multimodal Behavioral Cues Analysis of the Sense of Presence and Social Presence During a Social Interaction With a Virtual Patient,” which uses more algorithms</v>
      </c>
      <c r="D34" t="s">
        <v>2286</v>
      </c>
      <c r="E34" s="6" t="s">
        <v>2287</v>
      </c>
      <c r="F34" t="s">
        <v>7013</v>
      </c>
      <c r="G34" s="11">
        <v>2018</v>
      </c>
      <c r="H34" s="11" t="s">
        <v>6928</v>
      </c>
      <c r="I34" s="11"/>
      <c r="J34" s="11"/>
      <c r="K34" s="11"/>
      <c r="L34" s="11"/>
      <c r="M34" s="11" t="s">
        <v>6928</v>
      </c>
      <c r="N34" t="s">
        <v>6835</v>
      </c>
      <c r="O34" t="s">
        <v>6836</v>
      </c>
      <c r="P34" t="s">
        <v>7062</v>
      </c>
      <c r="Q34">
        <v>38</v>
      </c>
      <c r="R34" t="s">
        <v>7117</v>
      </c>
      <c r="S34" t="s">
        <v>6692</v>
      </c>
      <c r="T34" t="s">
        <v>6834</v>
      </c>
      <c r="W34" t="s">
        <v>6928</v>
      </c>
      <c r="AT34" t="s">
        <v>6928</v>
      </c>
      <c r="AU34" t="s">
        <v>6928</v>
      </c>
      <c r="BC34" t="s">
        <v>6928</v>
      </c>
      <c r="BG34" t="s">
        <v>6928</v>
      </c>
    </row>
    <row r="35" spans="1:62" x14ac:dyDescent="0.2">
      <c r="A35" t="s">
        <v>6686</v>
      </c>
      <c r="B35" t="str">
        <f>_xlfn.XLOOKUP(E35,'Title Abstract Screening'!G:G,'Title Abstract Screening'!B:B,"")</f>
        <v>agent based</v>
      </c>
      <c r="C35" t="str">
        <f>_xlfn.XLOOKUP(E35,'Full Text Screening'!E:E,'Full Text Screening'!C:C," ")</f>
        <v>technique proposal UX test agents als phd topic</v>
      </c>
      <c r="D35" t="s">
        <v>5252</v>
      </c>
      <c r="E35" s="6" t="s">
        <v>5253</v>
      </c>
      <c r="F35" t="s">
        <v>7022</v>
      </c>
      <c r="G35" s="11">
        <v>2020</v>
      </c>
      <c r="H35" s="11"/>
      <c r="I35" s="11"/>
      <c r="J35" s="11"/>
      <c r="K35" s="11" t="s">
        <v>6928</v>
      </c>
      <c r="L35" s="11"/>
      <c r="M35" s="11"/>
      <c r="N35" t="s">
        <v>7100</v>
      </c>
      <c r="O35" t="s">
        <v>6924</v>
      </c>
      <c r="P35" t="s">
        <v>7062</v>
      </c>
      <c r="Q35">
        <v>0</v>
      </c>
      <c r="S35" t="s">
        <v>6714</v>
      </c>
      <c r="T35" t="s">
        <v>6971</v>
      </c>
      <c r="U35" t="s">
        <v>6928</v>
      </c>
      <c r="AA35" t="s">
        <v>6928</v>
      </c>
      <c r="AQ35" t="s">
        <v>6928</v>
      </c>
    </row>
    <row r="36" spans="1:62" x14ac:dyDescent="0.2">
      <c r="A36" t="s">
        <v>6686</v>
      </c>
      <c r="B36" t="str">
        <f>_xlfn.XLOOKUP(E36,'Title Abstract Screening'!G:G,'Title Abstract Screening'!B:B,"")</f>
        <v>usability evaluation unclear, read fulltext</v>
      </c>
      <c r="C36" t="str">
        <f>_xlfn.XLOOKUP(E36,'Full Text Screening'!E:E,'Full Text Screening'!C:C," ")</f>
        <v>Ergonomics as usability factor in AR</v>
      </c>
      <c r="D36" t="s">
        <v>4038</v>
      </c>
      <c r="E36" s="6" t="s">
        <v>4039</v>
      </c>
      <c r="F36" t="s">
        <v>6990</v>
      </c>
      <c r="G36" s="11">
        <v>2023</v>
      </c>
      <c r="H36" s="11" t="s">
        <v>6928</v>
      </c>
      <c r="I36" s="11"/>
      <c r="J36" s="11"/>
      <c r="K36" s="11"/>
      <c r="L36" s="11"/>
      <c r="M36" s="11"/>
      <c r="N36" t="s">
        <v>6977</v>
      </c>
      <c r="O36" t="s">
        <v>6841</v>
      </c>
      <c r="P36" t="s">
        <v>7108</v>
      </c>
      <c r="Q36">
        <v>12</v>
      </c>
      <c r="S36" t="s">
        <v>6697</v>
      </c>
      <c r="T36" t="s">
        <v>6840</v>
      </c>
      <c r="AP36" t="s">
        <v>6928</v>
      </c>
      <c r="BJ36" t="s">
        <v>6928</v>
      </c>
    </row>
    <row r="37" spans="1:62" x14ac:dyDescent="0.2">
      <c r="A37" t="s">
        <v>6686</v>
      </c>
      <c r="B37" t="str">
        <f>_xlfn.XLOOKUP(E37,'Title Abstract Screening'!G:G,'Title Abstract Screening'!B:B,"")</f>
        <v>objective features</v>
      </c>
      <c r="C37" t="str">
        <f>_xlfn.XLOOKUP(E37,'Full Text Screening'!E:E,'Full Text Screening'!C:C," ")</f>
        <v>Physiological and Movement measures, very good introduction and related work</v>
      </c>
      <c r="D37" t="s">
        <v>1539</v>
      </c>
      <c r="E37" s="6" t="s">
        <v>1540</v>
      </c>
      <c r="F37" t="s">
        <v>7006</v>
      </c>
      <c r="G37" s="11">
        <v>2022</v>
      </c>
      <c r="H37" s="11" t="s">
        <v>6928</v>
      </c>
      <c r="I37" s="11"/>
      <c r="J37" s="11"/>
      <c r="K37" s="11"/>
      <c r="L37" s="11"/>
      <c r="M37" s="11" t="s">
        <v>6928</v>
      </c>
      <c r="N37" t="s">
        <v>6845</v>
      </c>
      <c r="O37" t="s">
        <v>6847</v>
      </c>
      <c r="P37" t="s">
        <v>6844</v>
      </c>
      <c r="Q37">
        <v>14</v>
      </c>
      <c r="R37">
        <v>117</v>
      </c>
      <c r="S37" t="s">
        <v>6692</v>
      </c>
      <c r="T37" t="s">
        <v>6846</v>
      </c>
      <c r="U37" t="s">
        <v>6928</v>
      </c>
      <c r="AT37" t="s">
        <v>6928</v>
      </c>
      <c r="AU37" t="s">
        <v>6928</v>
      </c>
      <c r="AY37" t="s">
        <v>6928</v>
      </c>
      <c r="BC37" t="s">
        <v>6928</v>
      </c>
    </row>
    <row r="38" spans="1:62" x14ac:dyDescent="0.2">
      <c r="A38" t="s">
        <v>6686</v>
      </c>
      <c r="B38" t="str">
        <f>_xlfn.XLOOKUP(E38,'Title Abstract Screening'!G:G,'Title Abstract Screening'!B:B,"")</f>
        <v>Movement</v>
      </c>
      <c r="C38" t="str">
        <f>_xlfn.XLOOKUP(E38,'Full Text Screening'!E:E,'Full Text Screening'!C:C," ")</f>
        <v xml:space="preserve"> </v>
      </c>
      <c r="D38" t="s">
        <v>5593</v>
      </c>
      <c r="E38" s="6" t="s">
        <v>5594</v>
      </c>
      <c r="F38" t="s">
        <v>6992</v>
      </c>
      <c r="G38" s="11">
        <v>2022</v>
      </c>
      <c r="H38" s="11" t="s">
        <v>6928</v>
      </c>
      <c r="I38" s="11"/>
      <c r="J38" s="11"/>
      <c r="K38" s="11"/>
      <c r="L38" s="11"/>
      <c r="M38" s="11"/>
      <c r="N38" t="s">
        <v>6852</v>
      </c>
      <c r="O38" t="s">
        <v>6851</v>
      </c>
      <c r="P38" t="s">
        <v>6850</v>
      </c>
      <c r="Q38">
        <v>4</v>
      </c>
      <c r="S38" t="s">
        <v>6692</v>
      </c>
      <c r="T38" t="s">
        <v>6849</v>
      </c>
      <c r="U38" t="s">
        <v>6928</v>
      </c>
      <c r="AP38" t="s">
        <v>6928</v>
      </c>
      <c r="AT38" t="s">
        <v>6928</v>
      </c>
      <c r="AU38" t="s">
        <v>6928</v>
      </c>
    </row>
    <row r="39" spans="1:62" x14ac:dyDescent="0.2">
      <c r="A39" t="s">
        <v>6686</v>
      </c>
      <c r="B39" t="str">
        <f>_xlfn.XLOOKUP(E39,'Title Abstract Screening'!G:G,'Title Abstract Screening'!B:B,"")</f>
        <v>automation unclear, read fulltext</v>
      </c>
      <c r="C39" t="str">
        <f>_xlfn.XLOOKUP(E39,'Full Text Screening'!E:E,'Full Text Screening'!C:C," ")</f>
        <v>Custom Build Glove for MR but Displayed on see through monitor</v>
      </c>
      <c r="D39" t="s">
        <v>5032</v>
      </c>
      <c r="E39" s="6" t="s">
        <v>5033</v>
      </c>
      <c r="F39" t="s">
        <v>7031</v>
      </c>
      <c r="G39" s="11">
        <v>2008</v>
      </c>
      <c r="H39" s="11" t="s">
        <v>6928</v>
      </c>
      <c r="I39" s="11"/>
      <c r="J39" s="11"/>
      <c r="K39" s="11"/>
      <c r="L39" s="11"/>
      <c r="M39" s="11"/>
      <c r="N39" t="s">
        <v>6855</v>
      </c>
      <c r="O39" t="s">
        <v>6975</v>
      </c>
      <c r="P39" t="s">
        <v>7062</v>
      </c>
      <c r="Q39" t="s">
        <v>6919</v>
      </c>
      <c r="S39" t="s">
        <v>6854</v>
      </c>
      <c r="T39" t="s">
        <v>6857</v>
      </c>
      <c r="U39" t="s">
        <v>6928</v>
      </c>
      <c r="AP39" t="s">
        <v>6928</v>
      </c>
      <c r="AT39" t="s">
        <v>6928</v>
      </c>
      <c r="AU39" t="s">
        <v>6928</v>
      </c>
      <c r="BA39" t="s">
        <v>6928</v>
      </c>
      <c r="BJ39" t="s">
        <v>6928</v>
      </c>
    </row>
    <row r="40" spans="1:62" x14ac:dyDescent="0.2">
      <c r="A40" t="s">
        <v>6686</v>
      </c>
      <c r="B40" t="str">
        <f>_xlfn.XLOOKUP(E40,'Title Abstract Screening'!G:G,'Title Abstract Screening'!B:B,"")</f>
        <v>usability evaluation unclear, read fulltext</v>
      </c>
      <c r="C40" t="str">
        <f>_xlfn.XLOOKUP(E40,'Full Text Screening'!E:E,'Full Text Screening'!C:C," ")</f>
        <v>Not usability, but user experience, influenced by crowd density</v>
      </c>
      <c r="D40" t="s">
        <v>4084</v>
      </c>
      <c r="E40" s="6" t="s">
        <v>4085</v>
      </c>
      <c r="F40" t="s">
        <v>6996</v>
      </c>
      <c r="G40" s="11">
        <v>2019</v>
      </c>
      <c r="H40" s="11" t="s">
        <v>6928</v>
      </c>
      <c r="I40" s="11" t="s">
        <v>6928</v>
      </c>
      <c r="J40" s="11"/>
      <c r="K40" s="11"/>
      <c r="L40" s="11"/>
      <c r="M40" s="11"/>
      <c r="N40" t="s">
        <v>6860</v>
      </c>
      <c r="O40" t="s">
        <v>6861</v>
      </c>
      <c r="P40" t="s">
        <v>6859</v>
      </c>
      <c r="Q40">
        <v>25</v>
      </c>
      <c r="S40" t="s">
        <v>6692</v>
      </c>
      <c r="T40" t="s">
        <v>6858</v>
      </c>
      <c r="V40" t="s">
        <v>6928</v>
      </c>
      <c r="BH40" t="s">
        <v>6928</v>
      </c>
    </row>
    <row r="41" spans="1:62" x14ac:dyDescent="0.2">
      <c r="A41" t="s">
        <v>6686</v>
      </c>
      <c r="B41" t="str">
        <f>_xlfn.XLOOKUP(E41,'Title Abstract Screening'!G:G,'Title Abstract Screening'!B:B,"")</f>
        <v>usability evaluation unclear, read fulltext</v>
      </c>
      <c r="C41" t="str">
        <f>_xlfn.XLOOKUP(E41,'Full Text Screening'!E:E,'Full Text Screening'!C:C," ")</f>
        <v xml:space="preserve"> </v>
      </c>
      <c r="D41" t="s">
        <v>650</v>
      </c>
      <c r="E41" s="6" t="s">
        <v>651</v>
      </c>
      <c r="F41" t="s">
        <v>7005</v>
      </c>
      <c r="G41" s="11">
        <v>2024</v>
      </c>
      <c r="H41" s="11" t="s">
        <v>6928</v>
      </c>
      <c r="I41" s="11"/>
      <c r="J41" s="11"/>
      <c r="K41" s="11"/>
      <c r="L41" s="11"/>
      <c r="M41" s="11" t="s">
        <v>6928</v>
      </c>
      <c r="N41" t="s">
        <v>6862</v>
      </c>
      <c r="O41" t="s">
        <v>6863</v>
      </c>
      <c r="P41" t="s">
        <v>7062</v>
      </c>
      <c r="Q41">
        <v>6</v>
      </c>
      <c r="S41" t="s">
        <v>6692</v>
      </c>
      <c r="T41" t="s">
        <v>6732</v>
      </c>
      <c r="AD41" t="s">
        <v>6928</v>
      </c>
      <c r="AR41" t="s">
        <v>6928</v>
      </c>
    </row>
    <row r="42" spans="1:62" x14ac:dyDescent="0.2">
      <c r="A42" t="s">
        <v>6686</v>
      </c>
      <c r="B42" t="str">
        <f>_xlfn.XLOOKUP(E42,'Title Abstract Screening'!G:G,'Title Abstract Screening'!B:B,"")</f>
        <v>eye tracking</v>
      </c>
      <c r="C42" t="str">
        <f>_xlfn.XLOOKUP(E42,'Full Text Screening'!E:E,'Full Text Screening'!C:C," ")</f>
        <v>Much of it is AR-specific, but some aspects can be applied to VR; the VR portion is automated, while the rest focuses primarily on the AR concept</v>
      </c>
      <c r="D42" t="s">
        <v>927</v>
      </c>
      <c r="E42" s="6" t="s">
        <v>928</v>
      </c>
      <c r="F42" t="s">
        <v>7015</v>
      </c>
      <c r="G42" s="11">
        <v>2023</v>
      </c>
      <c r="H42" s="11" t="s">
        <v>6928</v>
      </c>
      <c r="I42" s="11" t="s">
        <v>6928</v>
      </c>
      <c r="J42" s="11"/>
      <c r="K42" s="11"/>
      <c r="L42" s="11"/>
      <c r="M42" s="11"/>
      <c r="N42" t="s">
        <v>6864</v>
      </c>
      <c r="O42" t="s">
        <v>6866</v>
      </c>
      <c r="P42" t="s">
        <v>7062</v>
      </c>
      <c r="Q42">
        <v>10</v>
      </c>
      <c r="S42" t="s">
        <v>6697</v>
      </c>
      <c r="T42" t="s">
        <v>6865</v>
      </c>
      <c r="AL42" t="s">
        <v>6928</v>
      </c>
      <c r="BE42" t="s">
        <v>6928</v>
      </c>
    </row>
    <row r="43" spans="1:62" x14ac:dyDescent="0.2">
      <c r="A43" t="s">
        <v>6686</v>
      </c>
      <c r="B43" t="str">
        <f>_xlfn.XLOOKUP(E43,'Title Abstract Screening'!G:G,'Title Abstract Screening'!B:B,"")</f>
        <v>physiological factors</v>
      </c>
      <c r="C43" t="str">
        <f>_xlfn.XLOOKUP(E43,'Full Text Screening'!E:E,'Full Text Screening'!C:C," ")</f>
        <v>MR Driving simulator</v>
      </c>
      <c r="D43" t="s">
        <v>4446</v>
      </c>
      <c r="E43" s="6" t="s">
        <v>4447</v>
      </c>
      <c r="F43" t="s">
        <v>7008</v>
      </c>
      <c r="G43" s="11">
        <v>2023</v>
      </c>
      <c r="H43" s="11" t="s">
        <v>6928</v>
      </c>
      <c r="I43" s="11"/>
      <c r="J43" s="11"/>
      <c r="K43" s="11"/>
      <c r="L43" s="11"/>
      <c r="M43" s="11"/>
      <c r="N43" t="s">
        <v>6869</v>
      </c>
      <c r="O43" t="s">
        <v>6867</v>
      </c>
      <c r="P43" t="s">
        <v>6870</v>
      </c>
      <c r="Q43">
        <v>23</v>
      </c>
      <c r="S43" t="s">
        <v>6854</v>
      </c>
      <c r="T43" t="s">
        <v>6868</v>
      </c>
      <c r="AO43" t="s">
        <v>6928</v>
      </c>
      <c r="AR43" t="s">
        <v>6928</v>
      </c>
      <c r="AZ43" t="s">
        <v>6928</v>
      </c>
      <c r="BB43" t="s">
        <v>6928</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67E96-CD16-6742-AEB3-C0759550DF80}">
  <dimension ref="A1:CH43"/>
  <sheetViews>
    <sheetView workbookViewId="0">
      <selection activeCell="AM38" sqref="AM38"/>
    </sheetView>
  </sheetViews>
  <sheetFormatPr baseColWidth="10" defaultRowHeight="16" x14ac:dyDescent="0.2"/>
  <cols>
    <col min="2" max="2" width="15" bestFit="1" customWidth="1"/>
    <col min="3" max="3" width="14.33203125" bestFit="1" customWidth="1"/>
    <col min="4" max="6" width="80.6640625" bestFit="1" customWidth="1"/>
    <col min="7" max="7" width="33.5" bestFit="1" customWidth="1"/>
    <col min="8" max="8" width="29.33203125" bestFit="1" customWidth="1"/>
    <col min="9" max="9" width="52.83203125" bestFit="1" customWidth="1"/>
    <col min="10" max="11" width="80.6640625" bestFit="1" customWidth="1"/>
    <col min="12" max="12" width="8.1640625" bestFit="1" customWidth="1"/>
    <col min="13" max="15" width="13" bestFit="1" customWidth="1"/>
    <col min="16" max="16" width="13.83203125" bestFit="1" customWidth="1"/>
    <col min="17" max="17" width="10" bestFit="1" customWidth="1"/>
    <col min="18" max="18" width="5.33203125" bestFit="1" customWidth="1"/>
    <col min="19" max="19" width="7.1640625" bestFit="1" customWidth="1"/>
    <col min="20" max="20" width="17.1640625" bestFit="1" customWidth="1"/>
    <col min="21" max="21" width="31" bestFit="1" customWidth="1"/>
    <col min="22" max="22" width="74.5" bestFit="1" customWidth="1"/>
    <col min="23" max="23" width="10.6640625" bestFit="1" customWidth="1"/>
    <col min="24" max="24" width="13" bestFit="1" customWidth="1"/>
    <col min="25" max="25" width="9.83203125" bestFit="1" customWidth="1"/>
    <col min="26" max="26" width="10" bestFit="1" customWidth="1"/>
    <col min="27" max="27" width="71" bestFit="1" customWidth="1"/>
    <col min="28" max="28" width="22.33203125" bestFit="1" customWidth="1"/>
    <col min="29" max="29" width="8.6640625" bestFit="1" customWidth="1"/>
    <col min="30" max="30" width="68" bestFit="1" customWidth="1"/>
    <col min="31" max="31" width="4.83203125" bestFit="1" customWidth="1"/>
    <col min="32" max="32" width="7.1640625" bestFit="1" customWidth="1"/>
    <col min="33" max="33" width="14.5" bestFit="1" customWidth="1"/>
    <col min="34" max="34" width="15.83203125" bestFit="1" customWidth="1"/>
    <col min="35" max="35" width="11.33203125" bestFit="1" customWidth="1"/>
    <col min="36" max="36" width="79" bestFit="1" customWidth="1"/>
    <col min="37" max="37" width="80.6640625" bestFit="1" customWidth="1"/>
    <col min="38" max="38" width="15" bestFit="1" customWidth="1"/>
    <col min="39" max="39" width="80.6640625" bestFit="1" customWidth="1"/>
    <col min="40" max="40" width="13.33203125" bestFit="1" customWidth="1"/>
    <col min="41" max="41" width="33.83203125" bestFit="1" customWidth="1"/>
    <col min="42" max="42" width="11.33203125" bestFit="1" customWidth="1"/>
    <col min="43" max="43" width="9.33203125" bestFit="1" customWidth="1"/>
    <col min="44" max="44" width="10.6640625" bestFit="1" customWidth="1"/>
    <col min="45" max="45" width="12.83203125" bestFit="1" customWidth="1"/>
    <col min="47" max="47" width="12" bestFit="1" customWidth="1"/>
    <col min="49" max="49" width="9.5" bestFit="1" customWidth="1"/>
    <col min="50" max="50" width="9.83203125" bestFit="1" customWidth="1"/>
    <col min="51" max="51" width="7.83203125" bestFit="1" customWidth="1"/>
    <col min="52" max="52" width="10.33203125" bestFit="1" customWidth="1"/>
    <col min="53" max="53" width="8.5" bestFit="1" customWidth="1"/>
    <col min="54" max="54" width="9" bestFit="1" customWidth="1"/>
    <col min="55" max="55" width="14.6640625" bestFit="1" customWidth="1"/>
    <col min="57" max="57" width="8.6640625" bestFit="1" customWidth="1"/>
    <col min="58" max="58" width="6" bestFit="1" customWidth="1"/>
    <col min="59" max="59" width="7.6640625" bestFit="1" customWidth="1"/>
    <col min="60" max="60" width="6.83203125" bestFit="1" customWidth="1"/>
    <col min="61" max="61" width="11.83203125" bestFit="1" customWidth="1"/>
    <col min="62" max="62" width="5.6640625" bestFit="1" customWidth="1"/>
    <col min="63" max="63" width="7.6640625" bestFit="1" customWidth="1"/>
    <col min="64" max="64" width="11" bestFit="1" customWidth="1"/>
    <col min="65" max="65" width="9.83203125" bestFit="1" customWidth="1"/>
    <col min="66" max="66" width="17.33203125" bestFit="1" customWidth="1"/>
    <col min="67" max="67" width="8.1640625" bestFit="1" customWidth="1"/>
    <col min="68" max="68" width="14.33203125" bestFit="1" customWidth="1"/>
    <col min="69" max="69" width="7.6640625" bestFit="1" customWidth="1"/>
    <col min="70" max="70" width="12.83203125" bestFit="1" customWidth="1"/>
    <col min="71" max="71" width="80.6640625" bestFit="1" customWidth="1"/>
    <col min="72" max="72" width="5.83203125" bestFit="1" customWidth="1"/>
    <col min="73" max="73" width="10.33203125" bestFit="1" customWidth="1"/>
    <col min="74" max="74" width="8.33203125" bestFit="1" customWidth="1"/>
    <col min="76" max="76" width="14.6640625" bestFit="1" customWidth="1"/>
    <col min="77" max="77" width="19.6640625" bestFit="1" customWidth="1"/>
    <col min="78" max="78" width="7.1640625" bestFit="1" customWidth="1"/>
    <col min="79" max="79" width="7" bestFit="1" customWidth="1"/>
    <col min="80" max="80" width="5.5" bestFit="1" customWidth="1"/>
    <col min="81" max="81" width="12.33203125" bestFit="1" customWidth="1"/>
    <col min="82" max="83" width="7.33203125" bestFit="1" customWidth="1"/>
    <col min="84" max="84" width="10.33203125" bestFit="1" customWidth="1"/>
    <col min="85" max="85" width="7" bestFit="1" customWidth="1"/>
    <col min="86" max="86" width="14" bestFit="1" customWidth="1"/>
  </cols>
  <sheetData>
    <row r="1" spans="1:8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c r="BL1" t="s">
        <v>64</v>
      </c>
      <c r="BM1" t="s">
        <v>65</v>
      </c>
      <c r="BN1" t="s">
        <v>66</v>
      </c>
      <c r="BO1" t="s">
        <v>67</v>
      </c>
      <c r="BP1" t="s">
        <v>68</v>
      </c>
      <c r="BQ1" t="s">
        <v>69</v>
      </c>
      <c r="BR1" t="s">
        <v>70</v>
      </c>
      <c r="BS1" t="s">
        <v>71</v>
      </c>
      <c r="BT1" t="s">
        <v>72</v>
      </c>
      <c r="BU1" t="s">
        <v>73</v>
      </c>
      <c r="BV1" t="s">
        <v>74</v>
      </c>
      <c r="BW1" t="s">
        <v>75</v>
      </c>
      <c r="BX1" t="s">
        <v>76</v>
      </c>
      <c r="BY1" t="s">
        <v>77</v>
      </c>
      <c r="BZ1" t="s">
        <v>78</v>
      </c>
      <c r="CA1" t="s">
        <v>79</v>
      </c>
      <c r="CB1" t="s">
        <v>80</v>
      </c>
      <c r="CC1" t="s">
        <v>81</v>
      </c>
      <c r="CD1" t="s">
        <v>82</v>
      </c>
      <c r="CE1" t="s">
        <v>83</v>
      </c>
      <c r="CF1" t="s">
        <v>84</v>
      </c>
      <c r="CG1" t="s">
        <v>85</v>
      </c>
      <c r="CH1" t="s">
        <v>86</v>
      </c>
    </row>
    <row r="2" spans="1:86" x14ac:dyDescent="0.2">
      <c r="A2" t="s">
        <v>362</v>
      </c>
      <c r="B2" t="s">
        <v>88</v>
      </c>
      <c r="C2">
        <v>2023</v>
      </c>
      <c r="D2" t="s">
        <v>363</v>
      </c>
      <c r="E2" t="s">
        <v>364</v>
      </c>
      <c r="F2" t="s">
        <v>365</v>
      </c>
      <c r="G2" t="s">
        <v>366</v>
      </c>
      <c r="J2" t="s">
        <v>367</v>
      </c>
      <c r="L2">
        <v>2023</v>
      </c>
      <c r="M2" s="1">
        <v>45783.293310185189</v>
      </c>
      <c r="N2" s="1">
        <v>45783.293310185189</v>
      </c>
      <c r="O2" s="1">
        <v>45783.293310185189</v>
      </c>
      <c r="P2" t="s">
        <v>368</v>
      </c>
      <c r="S2">
        <v>343</v>
      </c>
      <c r="V2" t="s">
        <v>369</v>
      </c>
      <c r="AA2" t="s">
        <v>211</v>
      </c>
      <c r="AB2" t="s">
        <v>212</v>
      </c>
      <c r="AC2" t="s">
        <v>97</v>
      </c>
      <c r="AH2" t="s">
        <v>98</v>
      </c>
      <c r="AJ2" t="s">
        <v>370</v>
      </c>
      <c r="AO2" t="s">
        <v>371</v>
      </c>
    </row>
    <row r="3" spans="1:86" x14ac:dyDescent="0.2">
      <c r="A3" t="s">
        <v>427</v>
      </c>
      <c r="B3" t="s">
        <v>102</v>
      </c>
      <c r="C3">
        <v>2021</v>
      </c>
      <c r="D3" t="s">
        <v>428</v>
      </c>
      <c r="E3" t="s">
        <v>429</v>
      </c>
      <c r="F3" t="s">
        <v>133</v>
      </c>
      <c r="H3" t="s">
        <v>134</v>
      </c>
      <c r="I3" t="s">
        <v>430</v>
      </c>
      <c r="J3" t="s">
        <v>431</v>
      </c>
      <c r="K3" t="s">
        <v>432</v>
      </c>
      <c r="L3" t="s">
        <v>433</v>
      </c>
      <c r="M3" s="1">
        <v>45783.293414351851</v>
      </c>
      <c r="N3" s="1">
        <v>45783.293414351851</v>
      </c>
      <c r="O3" s="1">
        <v>45783.293414351851</v>
      </c>
      <c r="P3">
        <v>68</v>
      </c>
      <c r="R3">
        <v>1</v>
      </c>
      <c r="S3">
        <v>18</v>
      </c>
      <c r="U3" t="s">
        <v>138</v>
      </c>
      <c r="V3" t="s">
        <v>434</v>
      </c>
      <c r="AC3" t="s">
        <v>97</v>
      </c>
      <c r="AH3" t="s">
        <v>98</v>
      </c>
    </row>
    <row r="4" spans="1:86" x14ac:dyDescent="0.2">
      <c r="A4" t="s">
        <v>649</v>
      </c>
      <c r="B4" t="s">
        <v>102</v>
      </c>
      <c r="C4">
        <v>2024</v>
      </c>
      <c r="D4" t="s">
        <v>650</v>
      </c>
      <c r="E4" t="s">
        <v>651</v>
      </c>
      <c r="F4" t="s">
        <v>652</v>
      </c>
      <c r="H4" t="s">
        <v>653</v>
      </c>
      <c r="I4" t="s">
        <v>654</v>
      </c>
      <c r="J4" t="s">
        <v>655</v>
      </c>
      <c r="K4" t="s">
        <v>656</v>
      </c>
      <c r="L4">
        <v>2024</v>
      </c>
      <c r="M4" s="1">
        <v>45783.300138888888</v>
      </c>
      <c r="N4" s="1">
        <v>45783.300138888888</v>
      </c>
      <c r="P4" t="s">
        <v>657</v>
      </c>
      <c r="R4">
        <v>1</v>
      </c>
      <c r="S4">
        <v>30</v>
      </c>
      <c r="U4" t="s">
        <v>658</v>
      </c>
      <c r="AC4" t="s">
        <v>645</v>
      </c>
      <c r="AF4" t="s">
        <v>646</v>
      </c>
      <c r="AJ4" t="s">
        <v>659</v>
      </c>
      <c r="AK4" t="s">
        <v>6872</v>
      </c>
      <c r="AM4" t="s">
        <v>660</v>
      </c>
    </row>
    <row r="5" spans="1:86" x14ac:dyDescent="0.2">
      <c r="A5" t="s">
        <v>926</v>
      </c>
      <c r="B5" t="s">
        <v>102</v>
      </c>
      <c r="C5">
        <v>2023</v>
      </c>
      <c r="D5" t="s">
        <v>927</v>
      </c>
      <c r="E5" t="s">
        <v>928</v>
      </c>
      <c r="F5" t="s">
        <v>929</v>
      </c>
      <c r="H5" t="s">
        <v>930</v>
      </c>
      <c r="I5" t="s">
        <v>931</v>
      </c>
      <c r="J5" t="s">
        <v>932</v>
      </c>
      <c r="K5" t="s">
        <v>933</v>
      </c>
      <c r="L5">
        <v>2023</v>
      </c>
      <c r="M5" s="1">
        <v>45783.300150462965</v>
      </c>
      <c r="N5" s="1">
        <v>45783.300150462965</v>
      </c>
      <c r="P5" t="s">
        <v>934</v>
      </c>
      <c r="R5">
        <v>3</v>
      </c>
      <c r="S5">
        <v>42</v>
      </c>
      <c r="U5" t="s">
        <v>935</v>
      </c>
      <c r="AC5" t="s">
        <v>645</v>
      </c>
      <c r="AF5" t="s">
        <v>646</v>
      </c>
      <c r="AJ5" t="s">
        <v>936</v>
      </c>
      <c r="AK5" t="s">
        <v>6873</v>
      </c>
      <c r="AM5" t="s">
        <v>937</v>
      </c>
    </row>
    <row r="6" spans="1:86" x14ac:dyDescent="0.2">
      <c r="A6" t="s">
        <v>1074</v>
      </c>
      <c r="B6" t="s">
        <v>102</v>
      </c>
      <c r="C6">
        <v>2025</v>
      </c>
      <c r="D6" t="s">
        <v>1075</v>
      </c>
      <c r="E6" t="s">
        <v>1076</v>
      </c>
      <c r="F6" t="s">
        <v>1077</v>
      </c>
      <c r="H6" t="s">
        <v>1078</v>
      </c>
      <c r="I6" t="s">
        <v>1079</v>
      </c>
      <c r="J6" t="s">
        <v>1080</v>
      </c>
      <c r="K6" t="s">
        <v>1081</v>
      </c>
      <c r="L6">
        <v>2025</v>
      </c>
      <c r="M6" s="1">
        <v>45783.300150462965</v>
      </c>
      <c r="N6" s="1">
        <v>45783.300150462965</v>
      </c>
      <c r="U6" t="s">
        <v>1082</v>
      </c>
      <c r="AC6" t="s">
        <v>645</v>
      </c>
      <c r="AF6" t="s">
        <v>646</v>
      </c>
      <c r="AJ6" t="s">
        <v>647</v>
      </c>
      <c r="AK6" t="s">
        <v>6874</v>
      </c>
      <c r="AM6" t="s">
        <v>1083</v>
      </c>
    </row>
    <row r="7" spans="1:86" x14ac:dyDescent="0.2">
      <c r="A7" t="s">
        <v>1220</v>
      </c>
      <c r="B7" t="s">
        <v>102</v>
      </c>
      <c r="C7">
        <v>2024</v>
      </c>
      <c r="D7" t="s">
        <v>1221</v>
      </c>
      <c r="E7" t="s">
        <v>1222</v>
      </c>
      <c r="F7" t="s">
        <v>1223</v>
      </c>
      <c r="H7" t="s">
        <v>1224</v>
      </c>
      <c r="I7" t="s">
        <v>1225</v>
      </c>
      <c r="J7" t="s">
        <v>1226</v>
      </c>
      <c r="K7" t="s">
        <v>1227</v>
      </c>
      <c r="L7">
        <v>2024</v>
      </c>
      <c r="M7" s="1">
        <v>45783.300150462965</v>
      </c>
      <c r="N7" s="1">
        <v>45895.308252314811</v>
      </c>
      <c r="R7">
        <v>1</v>
      </c>
      <c r="S7">
        <v>35</v>
      </c>
      <c r="U7" t="s">
        <v>1228</v>
      </c>
      <c r="AC7" t="s">
        <v>645</v>
      </c>
      <c r="AF7" t="s">
        <v>646</v>
      </c>
      <c r="AJ7" t="s">
        <v>1229</v>
      </c>
      <c r="AK7" t="s">
        <v>6875</v>
      </c>
      <c r="AM7" t="s">
        <v>1230</v>
      </c>
    </row>
    <row r="8" spans="1:86" x14ac:dyDescent="0.2">
      <c r="A8" t="s">
        <v>1485</v>
      </c>
      <c r="B8" t="s">
        <v>477</v>
      </c>
      <c r="C8">
        <v>2020</v>
      </c>
      <c r="D8" t="s">
        <v>1486</v>
      </c>
      <c r="E8" t="s">
        <v>1487</v>
      </c>
      <c r="F8" t="s">
        <v>1488</v>
      </c>
      <c r="G8" t="s">
        <v>1489</v>
      </c>
      <c r="I8" t="s">
        <v>1490</v>
      </c>
      <c r="J8" t="s">
        <v>1491</v>
      </c>
      <c r="K8" t="s">
        <v>1492</v>
      </c>
      <c r="L8">
        <v>2020</v>
      </c>
      <c r="M8" s="1">
        <v>45783.300150462965</v>
      </c>
      <c r="N8" s="1">
        <v>45783.300150462965</v>
      </c>
      <c r="AA8" t="s">
        <v>681</v>
      </c>
      <c r="AC8" t="s">
        <v>645</v>
      </c>
      <c r="AF8" t="s">
        <v>646</v>
      </c>
      <c r="AJ8" t="s">
        <v>1493</v>
      </c>
      <c r="AK8" t="s">
        <v>6876</v>
      </c>
      <c r="AM8" t="s">
        <v>1494</v>
      </c>
      <c r="BS8" t="s">
        <v>1495</v>
      </c>
    </row>
    <row r="9" spans="1:86" x14ac:dyDescent="0.2">
      <c r="A9" t="s">
        <v>1538</v>
      </c>
      <c r="B9" t="s">
        <v>102</v>
      </c>
      <c r="C9">
        <v>2022</v>
      </c>
      <c r="D9" t="s">
        <v>1539</v>
      </c>
      <c r="E9" t="s">
        <v>1540</v>
      </c>
      <c r="F9" t="s">
        <v>909</v>
      </c>
      <c r="H9" t="s">
        <v>910</v>
      </c>
      <c r="I9" t="s">
        <v>1541</v>
      </c>
      <c r="J9" t="s">
        <v>1542</v>
      </c>
      <c r="K9" t="s">
        <v>1543</v>
      </c>
      <c r="L9">
        <v>2022</v>
      </c>
      <c r="M9" s="1">
        <v>45783.300150462965</v>
      </c>
      <c r="N9" s="1">
        <v>45783.300150462965</v>
      </c>
      <c r="R9">
        <v>4</v>
      </c>
      <c r="S9">
        <v>22</v>
      </c>
      <c r="U9" t="s">
        <v>909</v>
      </c>
      <c r="AC9" t="s">
        <v>645</v>
      </c>
      <c r="AF9" t="s">
        <v>646</v>
      </c>
      <c r="AJ9" t="s">
        <v>1524</v>
      </c>
      <c r="AK9" t="s">
        <v>6877</v>
      </c>
      <c r="AM9" t="s">
        <v>1544</v>
      </c>
    </row>
    <row r="10" spans="1:86" x14ac:dyDescent="0.2">
      <c r="A10" t="s">
        <v>1659</v>
      </c>
      <c r="B10" t="s">
        <v>102</v>
      </c>
      <c r="C10">
        <v>2022</v>
      </c>
      <c r="D10" t="s">
        <v>1660</v>
      </c>
      <c r="E10" t="s">
        <v>1661</v>
      </c>
      <c r="F10" t="s">
        <v>1662</v>
      </c>
      <c r="H10" t="s">
        <v>1663</v>
      </c>
      <c r="I10" t="s">
        <v>1664</v>
      </c>
      <c r="J10" t="s">
        <v>1665</v>
      </c>
      <c r="K10" t="s">
        <v>1666</v>
      </c>
      <c r="L10">
        <v>2022</v>
      </c>
      <c r="M10" s="1">
        <v>45783.300150462965</v>
      </c>
      <c r="N10" s="1">
        <v>45783.300150462965</v>
      </c>
      <c r="S10">
        <v>4</v>
      </c>
      <c r="U10" t="s">
        <v>1667</v>
      </c>
      <c r="AC10" t="s">
        <v>645</v>
      </c>
      <c r="AF10" t="s">
        <v>646</v>
      </c>
      <c r="AJ10" t="s">
        <v>1516</v>
      </c>
      <c r="AK10" t="s">
        <v>6878</v>
      </c>
      <c r="AM10" t="s">
        <v>1668</v>
      </c>
    </row>
    <row r="11" spans="1:86" x14ac:dyDescent="0.2">
      <c r="A11" t="s">
        <v>1709</v>
      </c>
      <c r="B11" t="s">
        <v>477</v>
      </c>
      <c r="C11">
        <v>2020</v>
      </c>
      <c r="D11" t="s">
        <v>1710</v>
      </c>
      <c r="E11" t="s">
        <v>1711</v>
      </c>
      <c r="F11" t="s">
        <v>1712</v>
      </c>
      <c r="G11" t="s">
        <v>1713</v>
      </c>
      <c r="I11" t="s">
        <v>1714</v>
      </c>
      <c r="J11" t="s">
        <v>1715</v>
      </c>
      <c r="K11" t="s">
        <v>1716</v>
      </c>
      <c r="L11">
        <v>2020</v>
      </c>
      <c r="M11" s="1">
        <v>45783.300150462965</v>
      </c>
      <c r="N11" s="1">
        <v>45783.300150462965</v>
      </c>
      <c r="P11" t="s">
        <v>1717</v>
      </c>
      <c r="AA11" t="s">
        <v>681</v>
      </c>
      <c r="AC11" t="s">
        <v>645</v>
      </c>
      <c r="AF11" t="s">
        <v>646</v>
      </c>
      <c r="AJ11" t="s">
        <v>1718</v>
      </c>
      <c r="AK11" t="s">
        <v>6879</v>
      </c>
      <c r="AM11" t="s">
        <v>1719</v>
      </c>
      <c r="BS11" t="s">
        <v>1720</v>
      </c>
    </row>
    <row r="12" spans="1:86" x14ac:dyDescent="0.2">
      <c r="A12" t="s">
        <v>2001</v>
      </c>
      <c r="B12" t="s">
        <v>102</v>
      </c>
      <c r="C12">
        <v>2022</v>
      </c>
      <c r="D12" t="s">
        <v>2002</v>
      </c>
      <c r="E12" t="s">
        <v>2003</v>
      </c>
      <c r="F12" t="s">
        <v>2004</v>
      </c>
      <c r="H12" t="s">
        <v>2005</v>
      </c>
      <c r="I12" t="s">
        <v>2006</v>
      </c>
      <c r="J12" t="s">
        <v>2007</v>
      </c>
      <c r="K12" t="s">
        <v>2008</v>
      </c>
      <c r="L12">
        <v>2022</v>
      </c>
      <c r="M12" s="1">
        <v>45783.300162037034</v>
      </c>
      <c r="N12" s="1">
        <v>45783.300162037034</v>
      </c>
      <c r="R12">
        <v>4</v>
      </c>
      <c r="S12">
        <v>3</v>
      </c>
      <c r="U12" t="s">
        <v>2009</v>
      </c>
      <c r="AC12" t="s">
        <v>645</v>
      </c>
      <c r="AF12" t="s">
        <v>646</v>
      </c>
      <c r="AJ12" t="s">
        <v>1340</v>
      </c>
      <c r="AK12" t="s">
        <v>6880</v>
      </c>
      <c r="AM12" t="s">
        <v>2010</v>
      </c>
    </row>
    <row r="13" spans="1:86" x14ac:dyDescent="0.2">
      <c r="A13" t="s">
        <v>2035</v>
      </c>
      <c r="B13" t="s">
        <v>477</v>
      </c>
      <c r="C13">
        <v>2020</v>
      </c>
      <c r="D13" t="s">
        <v>1486</v>
      </c>
      <c r="E13" t="s">
        <v>2036</v>
      </c>
      <c r="F13" t="s">
        <v>2037</v>
      </c>
      <c r="G13" t="s">
        <v>2038</v>
      </c>
      <c r="I13" t="s">
        <v>2039</v>
      </c>
      <c r="J13" t="s">
        <v>2040</v>
      </c>
      <c r="K13" t="s">
        <v>2041</v>
      </c>
      <c r="L13">
        <v>2020</v>
      </c>
      <c r="M13" s="1">
        <v>45783.300162037034</v>
      </c>
      <c r="N13" s="1">
        <v>45783.300162037034</v>
      </c>
      <c r="AA13" t="s">
        <v>681</v>
      </c>
      <c r="AC13" t="s">
        <v>645</v>
      </c>
      <c r="AF13" t="s">
        <v>646</v>
      </c>
      <c r="AJ13" t="s">
        <v>2042</v>
      </c>
      <c r="AK13" t="s">
        <v>6881</v>
      </c>
      <c r="AM13" t="s">
        <v>2043</v>
      </c>
      <c r="BS13" t="s">
        <v>2044</v>
      </c>
    </row>
    <row r="14" spans="1:86" x14ac:dyDescent="0.2">
      <c r="A14" t="s">
        <v>2070</v>
      </c>
      <c r="B14" t="s">
        <v>102</v>
      </c>
      <c r="C14">
        <v>2022</v>
      </c>
      <c r="D14" t="s">
        <v>2071</v>
      </c>
      <c r="E14" t="s">
        <v>2072</v>
      </c>
      <c r="F14" t="s">
        <v>2073</v>
      </c>
      <c r="H14" t="s">
        <v>2074</v>
      </c>
      <c r="I14" t="s">
        <v>2075</v>
      </c>
      <c r="J14" t="s">
        <v>2076</v>
      </c>
      <c r="K14" t="s">
        <v>2077</v>
      </c>
      <c r="L14">
        <v>2022</v>
      </c>
      <c r="M14" s="1">
        <v>45783.300162037034</v>
      </c>
      <c r="N14" s="1">
        <v>45783.300162037034</v>
      </c>
      <c r="R14">
        <v>5</v>
      </c>
      <c r="S14">
        <v>11</v>
      </c>
      <c r="U14" t="s">
        <v>2073</v>
      </c>
      <c r="AC14" t="s">
        <v>645</v>
      </c>
      <c r="AF14" t="s">
        <v>646</v>
      </c>
      <c r="AJ14" t="s">
        <v>1524</v>
      </c>
      <c r="AK14" t="s">
        <v>6882</v>
      </c>
      <c r="AM14" t="s">
        <v>2078</v>
      </c>
    </row>
    <row r="15" spans="1:86" x14ac:dyDescent="0.2">
      <c r="A15" t="s">
        <v>2285</v>
      </c>
      <c r="B15" t="s">
        <v>477</v>
      </c>
      <c r="C15">
        <v>2018</v>
      </c>
      <c r="D15" t="s">
        <v>2286</v>
      </c>
      <c r="E15" t="s">
        <v>2287</v>
      </c>
      <c r="F15" t="s">
        <v>2288</v>
      </c>
      <c r="G15" t="s">
        <v>2289</v>
      </c>
      <c r="I15" t="s">
        <v>2290</v>
      </c>
      <c r="J15" t="s">
        <v>2291</v>
      </c>
      <c r="K15" t="s">
        <v>2292</v>
      </c>
      <c r="L15">
        <v>2018</v>
      </c>
      <c r="M15" s="1">
        <v>45783.300162037034</v>
      </c>
      <c r="N15" s="1">
        <v>45783.300162037034</v>
      </c>
      <c r="P15" t="s">
        <v>2293</v>
      </c>
      <c r="AA15" t="s">
        <v>801</v>
      </c>
      <c r="AC15" t="s">
        <v>645</v>
      </c>
      <c r="AF15" t="s">
        <v>646</v>
      </c>
      <c r="AJ15" t="s">
        <v>2294</v>
      </c>
      <c r="AK15" t="s">
        <v>6883</v>
      </c>
      <c r="AM15" t="s">
        <v>2295</v>
      </c>
      <c r="BS15" t="s">
        <v>2296</v>
      </c>
    </row>
    <row r="16" spans="1:86" x14ac:dyDescent="0.2">
      <c r="A16" t="s">
        <v>2569</v>
      </c>
      <c r="B16" t="s">
        <v>477</v>
      </c>
      <c r="C16">
        <v>2016</v>
      </c>
      <c r="D16" t="s">
        <v>2570</v>
      </c>
      <c r="E16" t="s">
        <v>2571</v>
      </c>
      <c r="F16" t="s">
        <v>2572</v>
      </c>
      <c r="G16" t="s">
        <v>2573</v>
      </c>
      <c r="I16" t="s">
        <v>2574</v>
      </c>
      <c r="J16" t="s">
        <v>2575</v>
      </c>
      <c r="K16" t="s">
        <v>2576</v>
      </c>
      <c r="L16">
        <v>2016</v>
      </c>
      <c r="M16" s="1">
        <v>45783.300162037034</v>
      </c>
      <c r="N16" s="1">
        <v>45783.300162037034</v>
      </c>
      <c r="P16" t="s">
        <v>2577</v>
      </c>
      <c r="S16">
        <v>14</v>
      </c>
      <c r="AA16" t="s">
        <v>1167</v>
      </c>
      <c r="AC16" t="s">
        <v>645</v>
      </c>
      <c r="AF16" t="s">
        <v>646</v>
      </c>
      <c r="AJ16" t="s">
        <v>2578</v>
      </c>
      <c r="AK16" t="s">
        <v>6884</v>
      </c>
      <c r="AM16" t="s">
        <v>2579</v>
      </c>
      <c r="AO16" t="s">
        <v>2055</v>
      </c>
      <c r="BS16" t="s">
        <v>2580</v>
      </c>
    </row>
    <row r="17" spans="1:71" x14ac:dyDescent="0.2">
      <c r="A17" t="s">
        <v>2666</v>
      </c>
      <c r="B17" t="s">
        <v>477</v>
      </c>
      <c r="C17">
        <v>2019</v>
      </c>
      <c r="D17" t="s">
        <v>2667</v>
      </c>
      <c r="E17" t="s">
        <v>2668</v>
      </c>
      <c r="F17" t="s">
        <v>2669</v>
      </c>
      <c r="G17" t="s">
        <v>2670</v>
      </c>
      <c r="J17" t="s">
        <v>2671</v>
      </c>
      <c r="K17" t="s">
        <v>2672</v>
      </c>
      <c r="L17">
        <v>2019</v>
      </c>
      <c r="M17" s="1">
        <v>45783.300162037034</v>
      </c>
      <c r="N17" s="1">
        <v>45783.300162037034</v>
      </c>
      <c r="P17" t="s">
        <v>2673</v>
      </c>
      <c r="S17">
        <v>1</v>
      </c>
      <c r="AA17" t="s">
        <v>2674</v>
      </c>
      <c r="AC17" t="s">
        <v>645</v>
      </c>
      <c r="AF17" t="s">
        <v>646</v>
      </c>
      <c r="AJ17" t="s">
        <v>2675</v>
      </c>
      <c r="AK17" t="s">
        <v>6885</v>
      </c>
      <c r="AM17" t="s">
        <v>2676</v>
      </c>
      <c r="AO17" t="s">
        <v>2677</v>
      </c>
      <c r="BS17" t="s">
        <v>2678</v>
      </c>
    </row>
    <row r="18" spans="1:71" x14ac:dyDescent="0.2">
      <c r="A18" t="s">
        <v>3437</v>
      </c>
      <c r="B18" t="s">
        <v>102</v>
      </c>
      <c r="C18">
        <v>2019</v>
      </c>
      <c r="D18" t="s">
        <v>3438</v>
      </c>
      <c r="E18" t="s">
        <v>3439</v>
      </c>
      <c r="F18" t="s">
        <v>3440</v>
      </c>
      <c r="H18" t="s">
        <v>3441</v>
      </c>
      <c r="I18" t="s">
        <v>3442</v>
      </c>
      <c r="J18" t="s">
        <v>3443</v>
      </c>
      <c r="K18" t="s">
        <v>3444</v>
      </c>
      <c r="L18" t="s">
        <v>3445</v>
      </c>
      <c r="M18" s="1">
        <v>45783.30636574074</v>
      </c>
      <c r="N18" s="1">
        <v>45783.408333333333</v>
      </c>
      <c r="R18">
        <v>3</v>
      </c>
      <c r="S18">
        <v>26</v>
      </c>
      <c r="U18" t="s">
        <v>3446</v>
      </c>
      <c r="AJ18" t="s">
        <v>3263</v>
      </c>
      <c r="AK18" t="s">
        <v>6886</v>
      </c>
      <c r="AM18" t="s">
        <v>6887</v>
      </c>
    </row>
    <row r="19" spans="1:71" x14ac:dyDescent="0.2">
      <c r="A19" t="s">
        <v>6888</v>
      </c>
      <c r="B19" t="s">
        <v>477</v>
      </c>
      <c r="C19">
        <v>2022</v>
      </c>
      <c r="D19" t="s">
        <v>391</v>
      </c>
      <c r="E19" t="s">
        <v>6675</v>
      </c>
      <c r="F19" t="s">
        <v>6889</v>
      </c>
      <c r="G19" t="s">
        <v>6890</v>
      </c>
      <c r="I19" t="s">
        <v>6891</v>
      </c>
      <c r="J19" t="s">
        <v>6892</v>
      </c>
      <c r="K19" t="s">
        <v>6893</v>
      </c>
      <c r="L19">
        <v>2022</v>
      </c>
      <c r="M19" s="1">
        <v>45783.293356481481</v>
      </c>
      <c r="N19" s="1">
        <v>45798.321736111109</v>
      </c>
      <c r="P19" t="s">
        <v>6894</v>
      </c>
      <c r="AA19" t="s">
        <v>3194</v>
      </c>
      <c r="AB19" t="s">
        <v>589</v>
      </c>
      <c r="AJ19" t="s">
        <v>6895</v>
      </c>
      <c r="AK19" t="s">
        <v>6896</v>
      </c>
      <c r="AM19" t="s">
        <v>6897</v>
      </c>
    </row>
    <row r="20" spans="1:71" x14ac:dyDescent="0.2">
      <c r="A20" t="s">
        <v>3827</v>
      </c>
      <c r="B20" t="s">
        <v>102</v>
      </c>
      <c r="C20">
        <v>2008</v>
      </c>
      <c r="D20" t="s">
        <v>3828</v>
      </c>
      <c r="E20" t="s">
        <v>3829</v>
      </c>
      <c r="F20" t="s">
        <v>3830</v>
      </c>
      <c r="K20" t="s">
        <v>3831</v>
      </c>
      <c r="L20" t="s">
        <v>3832</v>
      </c>
      <c r="M20" s="1">
        <v>45783.30636574074</v>
      </c>
      <c r="N20" s="1">
        <v>45783.30636574074</v>
      </c>
      <c r="P20" t="s">
        <v>3833</v>
      </c>
      <c r="R20">
        <v>2</v>
      </c>
      <c r="S20">
        <v>3</v>
      </c>
      <c r="AJ20" t="s">
        <v>3834</v>
      </c>
      <c r="AM20" t="s">
        <v>3835</v>
      </c>
    </row>
    <row r="21" spans="1:71" x14ac:dyDescent="0.2">
      <c r="A21" t="s">
        <v>3976</v>
      </c>
      <c r="B21" t="s">
        <v>102</v>
      </c>
      <c r="C21">
        <v>2025</v>
      </c>
      <c r="D21" t="s">
        <v>3977</v>
      </c>
      <c r="E21" t="s">
        <v>3978</v>
      </c>
      <c r="F21" t="s">
        <v>3979</v>
      </c>
      <c r="H21" t="s">
        <v>3980</v>
      </c>
      <c r="I21" t="s">
        <v>3981</v>
      </c>
      <c r="J21" t="s">
        <v>3982</v>
      </c>
      <c r="K21" t="s">
        <v>3983</v>
      </c>
      <c r="L21" t="s">
        <v>3756</v>
      </c>
      <c r="M21" s="1">
        <v>45783.306377314817</v>
      </c>
      <c r="N21" s="1">
        <v>45783.376423611109</v>
      </c>
      <c r="P21" t="s">
        <v>3984</v>
      </c>
      <c r="R21">
        <v>8</v>
      </c>
      <c r="S21">
        <v>37</v>
      </c>
      <c r="AJ21" t="s">
        <v>3897</v>
      </c>
      <c r="AK21" t="s">
        <v>6898</v>
      </c>
      <c r="AM21" t="s">
        <v>3985</v>
      </c>
    </row>
    <row r="22" spans="1:71" x14ac:dyDescent="0.2">
      <c r="A22" t="s">
        <v>3996</v>
      </c>
      <c r="B22" t="s">
        <v>477</v>
      </c>
      <c r="C22">
        <v>2023</v>
      </c>
      <c r="D22" t="s">
        <v>3997</v>
      </c>
      <c r="E22" t="s">
        <v>3998</v>
      </c>
      <c r="F22" t="s">
        <v>3999</v>
      </c>
      <c r="G22" t="s">
        <v>4000</v>
      </c>
      <c r="I22" t="s">
        <v>4001</v>
      </c>
      <c r="J22" t="s">
        <v>4002</v>
      </c>
      <c r="K22" t="s">
        <v>4003</v>
      </c>
      <c r="L22">
        <v>2023</v>
      </c>
      <c r="M22" s="1">
        <v>45783.306377314817</v>
      </c>
      <c r="N22" s="1">
        <v>45783.472627314812</v>
      </c>
      <c r="W22" t="s">
        <v>4004</v>
      </c>
      <c r="AA22" t="s">
        <v>1167</v>
      </c>
      <c r="AB22" t="s">
        <v>3218</v>
      </c>
      <c r="AJ22" t="s">
        <v>4005</v>
      </c>
      <c r="AK22" t="s">
        <v>6899</v>
      </c>
      <c r="AM22" t="s">
        <v>4006</v>
      </c>
    </row>
    <row r="23" spans="1:71" x14ac:dyDescent="0.2">
      <c r="A23" t="s">
        <v>4037</v>
      </c>
      <c r="B23" t="s">
        <v>102</v>
      </c>
      <c r="C23">
        <v>2023</v>
      </c>
      <c r="D23" t="s">
        <v>4038</v>
      </c>
      <c r="E23" t="s">
        <v>4039</v>
      </c>
      <c r="F23" t="s">
        <v>948</v>
      </c>
      <c r="H23" t="s">
        <v>4040</v>
      </c>
      <c r="I23" t="s">
        <v>4041</v>
      </c>
      <c r="J23" t="s">
        <v>4042</v>
      </c>
      <c r="L23" t="s">
        <v>4043</v>
      </c>
      <c r="M23" s="1">
        <v>45783.306377314817</v>
      </c>
      <c r="N23" s="1">
        <v>45783.480821759258</v>
      </c>
      <c r="R23" t="s">
        <v>3283</v>
      </c>
      <c r="S23">
        <v>83</v>
      </c>
      <c r="U23" t="s">
        <v>953</v>
      </c>
      <c r="AJ23" t="s">
        <v>3435</v>
      </c>
      <c r="AK23" t="s">
        <v>6900</v>
      </c>
      <c r="AM23" t="s">
        <v>4044</v>
      </c>
    </row>
    <row r="24" spans="1:71" x14ac:dyDescent="0.2">
      <c r="A24" t="s">
        <v>4083</v>
      </c>
      <c r="B24" t="s">
        <v>102</v>
      </c>
      <c r="C24">
        <v>2019</v>
      </c>
      <c r="D24" t="s">
        <v>4084</v>
      </c>
      <c r="E24" t="s">
        <v>4085</v>
      </c>
      <c r="F24" t="s">
        <v>159</v>
      </c>
      <c r="H24" t="s">
        <v>4021</v>
      </c>
      <c r="I24" t="s">
        <v>4086</v>
      </c>
      <c r="J24" t="s">
        <v>4087</v>
      </c>
      <c r="K24" t="s">
        <v>4088</v>
      </c>
      <c r="L24" t="s">
        <v>4089</v>
      </c>
      <c r="M24" s="1">
        <v>45783.306377314817</v>
      </c>
      <c r="N24" s="1">
        <v>45784.288298611114</v>
      </c>
      <c r="P24" t="s">
        <v>4090</v>
      </c>
      <c r="R24">
        <v>1</v>
      </c>
      <c r="S24">
        <v>23</v>
      </c>
      <c r="AJ24" t="s">
        <v>3897</v>
      </c>
      <c r="AK24" t="s">
        <v>6901</v>
      </c>
      <c r="AM24" t="s">
        <v>6902</v>
      </c>
    </row>
    <row r="25" spans="1:71" x14ac:dyDescent="0.2">
      <c r="A25" t="s">
        <v>4414</v>
      </c>
      <c r="B25" t="s">
        <v>102</v>
      </c>
      <c r="C25">
        <v>2016</v>
      </c>
      <c r="D25" t="s">
        <v>4415</v>
      </c>
      <c r="E25" t="s">
        <v>4416</v>
      </c>
      <c r="F25" t="s">
        <v>4417</v>
      </c>
      <c r="H25" t="s">
        <v>4418</v>
      </c>
      <c r="I25" t="s">
        <v>4419</v>
      </c>
      <c r="J25" t="s">
        <v>4420</v>
      </c>
      <c r="K25" t="s">
        <v>4421</v>
      </c>
      <c r="L25" t="s">
        <v>4422</v>
      </c>
      <c r="M25" s="1">
        <v>45783.306377314817</v>
      </c>
      <c r="N25" s="1">
        <v>45783.306377314817</v>
      </c>
      <c r="P25" t="s">
        <v>4423</v>
      </c>
      <c r="R25">
        <v>5</v>
      </c>
      <c r="S25">
        <v>20</v>
      </c>
      <c r="AJ25" t="s">
        <v>3897</v>
      </c>
      <c r="AM25" t="s">
        <v>4424</v>
      </c>
    </row>
    <row r="26" spans="1:71" x14ac:dyDescent="0.2">
      <c r="A26" t="s">
        <v>4445</v>
      </c>
      <c r="B26" t="s">
        <v>102</v>
      </c>
      <c r="C26">
        <v>2023</v>
      </c>
      <c r="D26" t="s">
        <v>4446</v>
      </c>
      <c r="E26" t="s">
        <v>4447</v>
      </c>
      <c r="F26" t="s">
        <v>4448</v>
      </c>
      <c r="I26" t="s">
        <v>4449</v>
      </c>
      <c r="J26" t="s">
        <v>4450</v>
      </c>
      <c r="K26" t="s">
        <v>4451</v>
      </c>
      <c r="L26" t="s">
        <v>4452</v>
      </c>
      <c r="M26" s="1">
        <v>45783.306377314817</v>
      </c>
      <c r="N26" s="1">
        <v>45784.290335648147</v>
      </c>
      <c r="R26">
        <v>3</v>
      </c>
      <c r="S26">
        <v>7</v>
      </c>
      <c r="AJ26" t="s">
        <v>3263</v>
      </c>
      <c r="AK26" t="s">
        <v>6903</v>
      </c>
      <c r="AM26" t="s">
        <v>4453</v>
      </c>
    </row>
    <row r="27" spans="1:71" x14ac:dyDescent="0.2">
      <c r="A27" t="s">
        <v>4619</v>
      </c>
      <c r="B27" t="s">
        <v>477</v>
      </c>
      <c r="C27">
        <v>2010</v>
      </c>
      <c r="D27" t="s">
        <v>4620</v>
      </c>
      <c r="E27" t="s">
        <v>4621</v>
      </c>
      <c r="F27" t="s">
        <v>4622</v>
      </c>
      <c r="G27" t="s">
        <v>4623</v>
      </c>
      <c r="I27" t="s">
        <v>4624</v>
      </c>
      <c r="J27" t="s">
        <v>4625</v>
      </c>
      <c r="K27" t="s">
        <v>4626</v>
      </c>
      <c r="L27">
        <v>2010</v>
      </c>
      <c r="M27" s="1">
        <v>45783.306377314817</v>
      </c>
      <c r="N27" s="1">
        <v>45783.341631944444</v>
      </c>
      <c r="P27" t="s">
        <v>4627</v>
      </c>
      <c r="W27" t="s">
        <v>4628</v>
      </c>
      <c r="AA27" t="s">
        <v>1167</v>
      </c>
      <c r="AB27" t="s">
        <v>3218</v>
      </c>
      <c r="AJ27" t="s">
        <v>4629</v>
      </c>
      <c r="AK27" t="s">
        <v>6904</v>
      </c>
      <c r="AM27" t="s">
        <v>4630</v>
      </c>
    </row>
    <row r="28" spans="1:71" x14ac:dyDescent="0.2">
      <c r="A28" t="s">
        <v>4758</v>
      </c>
      <c r="B28" t="s">
        <v>477</v>
      </c>
      <c r="C28">
        <v>2018</v>
      </c>
      <c r="D28" t="s">
        <v>4759</v>
      </c>
      <c r="E28" t="s">
        <v>4760</v>
      </c>
      <c r="F28" t="s">
        <v>4761</v>
      </c>
      <c r="G28" t="s">
        <v>4762</v>
      </c>
      <c r="I28" t="s">
        <v>4763</v>
      </c>
      <c r="J28" t="s">
        <v>4764</v>
      </c>
      <c r="K28" t="s">
        <v>4765</v>
      </c>
      <c r="L28">
        <v>2018</v>
      </c>
      <c r="M28" s="1">
        <v>45783.306377314817</v>
      </c>
      <c r="N28" s="1">
        <v>45783.306377314817</v>
      </c>
      <c r="W28" t="s">
        <v>4766</v>
      </c>
      <c r="AA28" t="s">
        <v>1167</v>
      </c>
      <c r="AB28" t="s">
        <v>3218</v>
      </c>
      <c r="AJ28" t="s">
        <v>3669</v>
      </c>
      <c r="AM28" t="s">
        <v>4767</v>
      </c>
    </row>
    <row r="29" spans="1:71" x14ac:dyDescent="0.2">
      <c r="A29" t="s">
        <v>5031</v>
      </c>
      <c r="B29" t="s">
        <v>477</v>
      </c>
      <c r="C29">
        <v>2008</v>
      </c>
      <c r="D29" t="s">
        <v>5032</v>
      </c>
      <c r="E29" t="s">
        <v>5033</v>
      </c>
      <c r="F29" t="s">
        <v>5034</v>
      </c>
      <c r="G29" t="s">
        <v>5035</v>
      </c>
      <c r="I29" t="s">
        <v>5036</v>
      </c>
      <c r="J29" t="s">
        <v>5037</v>
      </c>
      <c r="K29" t="s">
        <v>5038</v>
      </c>
      <c r="L29">
        <v>2008</v>
      </c>
      <c r="M29" s="1">
        <v>45783.306388888886</v>
      </c>
      <c r="N29" s="1">
        <v>45783.306388888886</v>
      </c>
      <c r="P29" t="s">
        <v>5039</v>
      </c>
      <c r="W29" t="s">
        <v>5040</v>
      </c>
      <c r="AA29" t="s">
        <v>1167</v>
      </c>
      <c r="AB29" t="s">
        <v>3218</v>
      </c>
      <c r="AJ29" t="s">
        <v>5041</v>
      </c>
      <c r="AK29" t="s">
        <v>6905</v>
      </c>
      <c r="AM29" t="s">
        <v>5042</v>
      </c>
    </row>
    <row r="30" spans="1:71" x14ac:dyDescent="0.2">
      <c r="A30" t="s">
        <v>5043</v>
      </c>
      <c r="B30" t="s">
        <v>477</v>
      </c>
      <c r="C30">
        <v>2024</v>
      </c>
      <c r="D30" t="s">
        <v>5044</v>
      </c>
      <c r="E30" t="s">
        <v>5045</v>
      </c>
      <c r="F30" t="s">
        <v>5046</v>
      </c>
      <c r="G30" t="s">
        <v>5047</v>
      </c>
      <c r="I30" t="s">
        <v>5048</v>
      </c>
      <c r="J30" t="s">
        <v>5049</v>
      </c>
      <c r="K30" t="s">
        <v>5050</v>
      </c>
      <c r="L30">
        <v>2024</v>
      </c>
      <c r="M30" s="1">
        <v>45783.306388888886</v>
      </c>
      <c r="N30" s="1">
        <v>45783.471307870372</v>
      </c>
      <c r="P30" t="s">
        <v>5051</v>
      </c>
      <c r="W30" t="s">
        <v>5052</v>
      </c>
      <c r="AA30" t="s">
        <v>1167</v>
      </c>
      <c r="AB30" t="s">
        <v>3218</v>
      </c>
      <c r="AJ30" t="s">
        <v>5053</v>
      </c>
      <c r="AK30" t="s">
        <v>6906</v>
      </c>
      <c r="AM30" t="s">
        <v>5054</v>
      </c>
    </row>
    <row r="31" spans="1:71" x14ac:dyDescent="0.2">
      <c r="A31" t="s">
        <v>5191</v>
      </c>
      <c r="B31" t="s">
        <v>477</v>
      </c>
      <c r="C31">
        <v>2020</v>
      </c>
      <c r="D31" t="s">
        <v>5192</v>
      </c>
      <c r="E31" t="s">
        <v>5193</v>
      </c>
      <c r="F31" t="s">
        <v>5194</v>
      </c>
      <c r="G31" t="s">
        <v>5195</v>
      </c>
      <c r="I31" t="s">
        <v>5196</v>
      </c>
      <c r="J31" t="s">
        <v>5197</v>
      </c>
      <c r="L31" t="s">
        <v>5198</v>
      </c>
      <c r="M31" s="1">
        <v>45783.311180555553</v>
      </c>
      <c r="N31" s="1">
        <v>45783.382476851853</v>
      </c>
      <c r="O31" s="1">
        <v>45783.311180555553</v>
      </c>
      <c r="P31" t="s">
        <v>5199</v>
      </c>
      <c r="AA31" t="s">
        <v>5107</v>
      </c>
      <c r="AB31" t="s">
        <v>5200</v>
      </c>
      <c r="AD31" t="s">
        <v>5140</v>
      </c>
      <c r="AH31" t="s">
        <v>98</v>
      </c>
      <c r="AK31" t="s">
        <v>6907</v>
      </c>
      <c r="AM31" t="s">
        <v>5202</v>
      </c>
      <c r="BS31" t="s">
        <v>5194</v>
      </c>
    </row>
    <row r="32" spans="1:71" x14ac:dyDescent="0.2">
      <c r="A32" t="s">
        <v>5251</v>
      </c>
      <c r="B32" t="s">
        <v>477</v>
      </c>
      <c r="C32">
        <v>2020</v>
      </c>
      <c r="D32" t="s">
        <v>6908</v>
      </c>
      <c r="E32" t="s">
        <v>5253</v>
      </c>
      <c r="F32" t="s">
        <v>5194</v>
      </c>
      <c r="G32" t="s">
        <v>5195</v>
      </c>
      <c r="I32" t="s">
        <v>5254</v>
      </c>
      <c r="J32" t="s">
        <v>5255</v>
      </c>
      <c r="L32" t="s">
        <v>5198</v>
      </c>
      <c r="M32" s="1">
        <v>45783.311249999999</v>
      </c>
      <c r="N32" s="1">
        <v>45903.444918981484</v>
      </c>
      <c r="O32" s="1">
        <v>45783.311249999999</v>
      </c>
      <c r="P32" t="s">
        <v>5256</v>
      </c>
      <c r="AA32" t="s">
        <v>5107</v>
      </c>
      <c r="AB32" t="s">
        <v>5200</v>
      </c>
      <c r="AD32" t="s">
        <v>5140</v>
      </c>
      <c r="AH32" t="s">
        <v>98</v>
      </c>
      <c r="AK32" t="s">
        <v>6909</v>
      </c>
      <c r="AM32" t="s">
        <v>5257</v>
      </c>
      <c r="BS32" t="s">
        <v>5194</v>
      </c>
    </row>
    <row r="33" spans="1:71" x14ac:dyDescent="0.2">
      <c r="A33" t="s">
        <v>5374</v>
      </c>
      <c r="B33" t="s">
        <v>477</v>
      </c>
      <c r="C33">
        <v>2017</v>
      </c>
      <c r="D33" t="s">
        <v>5375</v>
      </c>
      <c r="E33" t="s">
        <v>5376</v>
      </c>
      <c r="F33" t="s">
        <v>5377</v>
      </c>
      <c r="G33" t="s">
        <v>5378</v>
      </c>
      <c r="I33" t="s">
        <v>5379</v>
      </c>
      <c r="J33" t="s">
        <v>5380</v>
      </c>
      <c r="L33" t="s">
        <v>5381</v>
      </c>
      <c r="M33" s="1">
        <v>45783.311354166668</v>
      </c>
      <c r="N33" s="1">
        <v>45783.311354166668</v>
      </c>
      <c r="O33" s="1">
        <v>45783.311354166668</v>
      </c>
      <c r="P33" t="s">
        <v>5382</v>
      </c>
      <c r="AA33" t="s">
        <v>5107</v>
      </c>
      <c r="AB33" t="s">
        <v>5383</v>
      </c>
      <c r="AH33" t="s">
        <v>98</v>
      </c>
      <c r="BS33" t="s">
        <v>5377</v>
      </c>
    </row>
    <row r="34" spans="1:71" x14ac:dyDescent="0.2">
      <c r="A34" t="s">
        <v>5448</v>
      </c>
      <c r="B34" t="s">
        <v>477</v>
      </c>
      <c r="C34">
        <v>2022</v>
      </c>
      <c r="D34" t="s">
        <v>5449</v>
      </c>
      <c r="E34" t="s">
        <v>5450</v>
      </c>
      <c r="F34" t="s">
        <v>5451</v>
      </c>
      <c r="G34" t="s">
        <v>5452</v>
      </c>
      <c r="I34" t="s">
        <v>5453</v>
      </c>
      <c r="J34" t="s">
        <v>5454</v>
      </c>
      <c r="L34" t="s">
        <v>5455</v>
      </c>
      <c r="M34" s="1">
        <v>45783.311423611114</v>
      </c>
      <c r="N34" s="1">
        <v>45783.311423611114</v>
      </c>
      <c r="O34" s="1">
        <v>45783.311423611114</v>
      </c>
      <c r="P34" t="s">
        <v>5456</v>
      </c>
      <c r="V34" t="s">
        <v>5457</v>
      </c>
      <c r="AA34" t="s">
        <v>5107</v>
      </c>
      <c r="AB34" t="s">
        <v>5458</v>
      </c>
      <c r="AD34" t="s">
        <v>5109</v>
      </c>
      <c r="AH34" t="s">
        <v>98</v>
      </c>
      <c r="BS34" t="s">
        <v>5451</v>
      </c>
    </row>
    <row r="35" spans="1:71" x14ac:dyDescent="0.2">
      <c r="A35" t="s">
        <v>5529</v>
      </c>
      <c r="B35" t="s">
        <v>477</v>
      </c>
      <c r="C35">
        <v>2025</v>
      </c>
      <c r="D35" t="s">
        <v>5530</v>
      </c>
      <c r="E35" t="s">
        <v>5531</v>
      </c>
      <c r="F35" t="s">
        <v>5532</v>
      </c>
      <c r="G35" t="s">
        <v>5533</v>
      </c>
      <c r="I35" t="s">
        <v>5534</v>
      </c>
      <c r="J35" t="s">
        <v>5535</v>
      </c>
      <c r="L35" s="2">
        <v>45684</v>
      </c>
      <c r="M35" s="1">
        <v>45783.311550925922</v>
      </c>
      <c r="N35" s="1">
        <v>45783.311550925922</v>
      </c>
      <c r="O35" s="1">
        <v>45783.311550925922</v>
      </c>
      <c r="P35" t="s">
        <v>5536</v>
      </c>
      <c r="V35" t="s">
        <v>5537</v>
      </c>
      <c r="AA35" t="s">
        <v>5107</v>
      </c>
      <c r="AB35" t="s">
        <v>5404</v>
      </c>
      <c r="AD35" t="s">
        <v>5109</v>
      </c>
      <c r="AH35" t="s">
        <v>98</v>
      </c>
      <c r="BS35" t="s">
        <v>5532</v>
      </c>
    </row>
    <row r="36" spans="1:71" x14ac:dyDescent="0.2">
      <c r="A36" t="s">
        <v>5557</v>
      </c>
      <c r="B36" t="s">
        <v>477</v>
      </c>
      <c r="C36">
        <v>2024</v>
      </c>
      <c r="D36" t="s">
        <v>5558</v>
      </c>
      <c r="E36" t="s">
        <v>5559</v>
      </c>
      <c r="F36" t="s">
        <v>5560</v>
      </c>
      <c r="G36" t="s">
        <v>5561</v>
      </c>
      <c r="I36" t="s">
        <v>5562</v>
      </c>
      <c r="J36" t="s">
        <v>5563</v>
      </c>
      <c r="L36" s="2">
        <v>45366</v>
      </c>
      <c r="M36" s="1">
        <v>45783.311597222222</v>
      </c>
      <c r="N36" s="1">
        <v>45786.568749999999</v>
      </c>
      <c r="O36" s="1">
        <v>45783.311597222222</v>
      </c>
      <c r="P36" s="3">
        <v>45809</v>
      </c>
      <c r="AA36" t="s">
        <v>5107</v>
      </c>
      <c r="AB36" t="s">
        <v>5564</v>
      </c>
      <c r="AD36" t="s">
        <v>5109</v>
      </c>
      <c r="AH36" t="s">
        <v>98</v>
      </c>
      <c r="BS36" t="s">
        <v>5560</v>
      </c>
    </row>
    <row r="37" spans="1:71" x14ac:dyDescent="0.2">
      <c r="A37" t="s">
        <v>5592</v>
      </c>
      <c r="B37" t="s">
        <v>477</v>
      </c>
      <c r="C37">
        <v>2022</v>
      </c>
      <c r="D37" t="s">
        <v>5593</v>
      </c>
      <c r="E37" t="s">
        <v>5594</v>
      </c>
      <c r="F37" t="s">
        <v>5595</v>
      </c>
      <c r="G37" t="s">
        <v>5596</v>
      </c>
      <c r="I37" t="s">
        <v>5597</v>
      </c>
      <c r="J37" t="s">
        <v>5598</v>
      </c>
      <c r="L37" s="2">
        <v>44825</v>
      </c>
      <c r="M37" s="1">
        <v>45783.311643518522</v>
      </c>
      <c r="N37" s="1">
        <v>45783.311643518522</v>
      </c>
      <c r="O37" s="1">
        <v>45783.311643518522</v>
      </c>
      <c r="P37" t="s">
        <v>5599</v>
      </c>
      <c r="AA37" t="s">
        <v>5107</v>
      </c>
      <c r="AB37" t="s">
        <v>5600</v>
      </c>
      <c r="AD37" t="s">
        <v>5109</v>
      </c>
      <c r="AH37" t="s">
        <v>98</v>
      </c>
      <c r="BS37" t="s">
        <v>5595</v>
      </c>
    </row>
    <row r="38" spans="1:71" x14ac:dyDescent="0.2">
      <c r="A38" t="s">
        <v>5799</v>
      </c>
      <c r="B38" t="s">
        <v>477</v>
      </c>
      <c r="C38">
        <v>2021</v>
      </c>
      <c r="D38" t="s">
        <v>5800</v>
      </c>
      <c r="E38" t="s">
        <v>5801</v>
      </c>
      <c r="F38" t="s">
        <v>5689</v>
      </c>
      <c r="G38" t="s">
        <v>5690</v>
      </c>
      <c r="I38" t="s">
        <v>5802</v>
      </c>
      <c r="J38" t="s">
        <v>5803</v>
      </c>
      <c r="L38" t="s">
        <v>5401</v>
      </c>
      <c r="M38" s="1">
        <v>45783.311921296299</v>
      </c>
      <c r="N38" s="1">
        <v>45783.311921296299</v>
      </c>
      <c r="O38" s="1">
        <v>45783.311921296299</v>
      </c>
      <c r="P38" t="s">
        <v>5804</v>
      </c>
      <c r="V38" t="s">
        <v>5805</v>
      </c>
      <c r="AA38" t="s">
        <v>5107</v>
      </c>
      <c r="AB38" t="s">
        <v>5695</v>
      </c>
      <c r="AD38" t="s">
        <v>5140</v>
      </c>
      <c r="AH38" t="s">
        <v>98</v>
      </c>
      <c r="BS38" t="s">
        <v>5689</v>
      </c>
    </row>
    <row r="39" spans="1:71" x14ac:dyDescent="0.2">
      <c r="A39" t="s">
        <v>5884</v>
      </c>
      <c r="B39" t="s">
        <v>477</v>
      </c>
      <c r="C39">
        <v>2019</v>
      </c>
      <c r="D39" t="s">
        <v>5885</v>
      </c>
      <c r="E39" t="s">
        <v>5886</v>
      </c>
      <c r="F39" t="s">
        <v>5887</v>
      </c>
      <c r="G39" t="s">
        <v>5888</v>
      </c>
      <c r="I39" t="s">
        <v>5889</v>
      </c>
      <c r="J39" t="s">
        <v>5890</v>
      </c>
      <c r="L39" t="s">
        <v>4388</v>
      </c>
      <c r="M39" s="1">
        <v>45783.312037037038</v>
      </c>
      <c r="N39" s="1">
        <v>45783.312037037038</v>
      </c>
      <c r="O39" s="1">
        <v>45783.312037037038</v>
      </c>
      <c r="P39" t="s">
        <v>5891</v>
      </c>
      <c r="AA39" t="s">
        <v>5107</v>
      </c>
      <c r="AB39" t="s">
        <v>5892</v>
      </c>
      <c r="AD39" t="s">
        <v>5140</v>
      </c>
      <c r="AH39" t="s">
        <v>98</v>
      </c>
      <c r="BS39" t="s">
        <v>5887</v>
      </c>
    </row>
    <row r="40" spans="1:71" x14ac:dyDescent="0.2">
      <c r="A40" t="s">
        <v>6006</v>
      </c>
      <c r="B40" t="s">
        <v>477</v>
      </c>
      <c r="C40">
        <v>2023</v>
      </c>
      <c r="D40" t="s">
        <v>6007</v>
      </c>
      <c r="E40" t="s">
        <v>6008</v>
      </c>
      <c r="F40" t="s">
        <v>6009</v>
      </c>
      <c r="G40" t="s">
        <v>6010</v>
      </c>
      <c r="I40" t="s">
        <v>6011</v>
      </c>
      <c r="J40" t="s">
        <v>6012</v>
      </c>
      <c r="L40" s="2">
        <v>45215</v>
      </c>
      <c r="M40" s="1">
        <v>45783.3122337963</v>
      </c>
      <c r="N40" s="1">
        <v>45783.3122337963</v>
      </c>
      <c r="O40" s="1">
        <v>45783.3122337963</v>
      </c>
      <c r="P40" t="s">
        <v>6013</v>
      </c>
      <c r="AA40" t="s">
        <v>5107</v>
      </c>
      <c r="AB40" t="s">
        <v>5466</v>
      </c>
      <c r="AH40" t="s">
        <v>98</v>
      </c>
      <c r="AK40" t="s">
        <v>6910</v>
      </c>
      <c r="BS40" t="s">
        <v>6009</v>
      </c>
    </row>
    <row r="41" spans="1:71" x14ac:dyDescent="0.2">
      <c r="A41" t="s">
        <v>6213</v>
      </c>
      <c r="B41" t="s">
        <v>102</v>
      </c>
      <c r="C41">
        <v>2021</v>
      </c>
      <c r="D41" t="s">
        <v>6214</v>
      </c>
      <c r="E41" t="s">
        <v>6215</v>
      </c>
      <c r="F41" t="s">
        <v>1376</v>
      </c>
      <c r="H41" t="s">
        <v>6105</v>
      </c>
      <c r="I41" t="s">
        <v>6216</v>
      </c>
      <c r="J41" t="s">
        <v>6217</v>
      </c>
      <c r="L41" s="2">
        <v>44256</v>
      </c>
      <c r="M41" s="1">
        <v>45783.312916666669</v>
      </c>
      <c r="N41" s="1">
        <v>45783.312916666669</v>
      </c>
      <c r="O41" s="1">
        <v>45783.312916666669</v>
      </c>
      <c r="P41" t="s">
        <v>6218</v>
      </c>
      <c r="R41">
        <v>3</v>
      </c>
      <c r="S41">
        <v>27</v>
      </c>
      <c r="U41" t="s">
        <v>3713</v>
      </c>
      <c r="AD41" t="s">
        <v>5140</v>
      </c>
      <c r="AH41" t="s">
        <v>98</v>
      </c>
    </row>
    <row r="42" spans="1:71" x14ac:dyDescent="0.2">
      <c r="A42" t="s">
        <v>6296</v>
      </c>
      <c r="B42" t="s">
        <v>102</v>
      </c>
      <c r="C42">
        <v>2024</v>
      </c>
      <c r="D42" t="s">
        <v>6297</v>
      </c>
      <c r="E42" t="s">
        <v>6298</v>
      </c>
      <c r="F42" t="s">
        <v>1376</v>
      </c>
      <c r="H42" t="s">
        <v>6105</v>
      </c>
      <c r="I42" t="s">
        <v>6299</v>
      </c>
      <c r="J42" t="s">
        <v>6300</v>
      </c>
      <c r="L42" t="s">
        <v>6301</v>
      </c>
      <c r="M42" s="1">
        <v>45783.313437500001</v>
      </c>
      <c r="N42" s="1">
        <v>45783.313437500001</v>
      </c>
      <c r="O42" s="1">
        <v>45783.313437500001</v>
      </c>
      <c r="P42" t="s">
        <v>6302</v>
      </c>
      <c r="R42">
        <v>5</v>
      </c>
      <c r="S42">
        <v>30</v>
      </c>
      <c r="U42" t="s">
        <v>3713</v>
      </c>
      <c r="AD42" t="s">
        <v>5140</v>
      </c>
      <c r="AH42" t="s">
        <v>98</v>
      </c>
    </row>
    <row r="43" spans="1:71" x14ac:dyDescent="0.2">
      <c r="A43" t="s">
        <v>6312</v>
      </c>
      <c r="B43" t="s">
        <v>102</v>
      </c>
      <c r="C43">
        <v>2023</v>
      </c>
      <c r="D43" t="s">
        <v>6313</v>
      </c>
      <c r="E43" t="s">
        <v>6314</v>
      </c>
      <c r="F43" t="s">
        <v>1376</v>
      </c>
      <c r="H43" t="s">
        <v>6105</v>
      </c>
      <c r="I43" t="s">
        <v>6315</v>
      </c>
      <c r="J43" t="s">
        <v>6316</v>
      </c>
      <c r="L43" t="s">
        <v>6317</v>
      </c>
      <c r="M43" s="1">
        <v>45783.313449074078</v>
      </c>
      <c r="N43" s="1">
        <v>45783.313449074078</v>
      </c>
      <c r="O43" s="1">
        <v>45783.313449074078</v>
      </c>
      <c r="P43" t="s">
        <v>6318</v>
      </c>
      <c r="R43">
        <v>11</v>
      </c>
      <c r="S43">
        <v>29</v>
      </c>
      <c r="U43" t="s">
        <v>3713</v>
      </c>
      <c r="AD43" t="s">
        <v>5140</v>
      </c>
      <c r="AH43" t="s">
        <v>98</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5</vt:i4>
      </vt:variant>
      <vt:variant>
        <vt:lpstr>Benannte Bereiche</vt:lpstr>
      </vt:variant>
      <vt:variant>
        <vt:i4>2</vt:i4>
      </vt:variant>
    </vt:vector>
  </HeadingPairs>
  <TitlesOfParts>
    <vt:vector size="7" baseType="lpstr">
      <vt:lpstr>Title Abstract Screening</vt:lpstr>
      <vt:lpstr>Full Text Screening</vt:lpstr>
      <vt:lpstr>Review - Final Extraction</vt:lpstr>
      <vt:lpstr>extraction_analysis_export</vt:lpstr>
      <vt:lpstr>review_zotero_export</vt:lpstr>
      <vt:lpstr>'Full Text Screening'!for_fulltext_screening</vt:lpstr>
      <vt:lpstr>review_zotero_export!SLR_Include_In_Review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Wüppelmann</dc:creator>
  <cp:lastModifiedBy>Dennis Wüppelmann</cp:lastModifiedBy>
  <dcterms:created xsi:type="dcterms:W3CDTF">2025-05-07T12:58:30Z</dcterms:created>
  <dcterms:modified xsi:type="dcterms:W3CDTF">2026-09-04T09:56:43Z</dcterms:modified>
</cp:coreProperties>
</file>